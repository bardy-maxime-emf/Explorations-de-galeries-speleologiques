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14"/>
  <workbookPr/>
  <mc:AlternateContent xmlns:mc="http://schemas.openxmlformats.org/markup-compatibility/2006">
    <mc:Choice Requires="x15">
      <x15ac:absPath xmlns:x15ac="http://schemas.microsoft.com/office/spreadsheetml/2010/11/ac" url="/Users/maximebardy/Github/Explorations-de-galeries-speleologiques/documentation/"/>
    </mc:Choice>
  </mc:AlternateContent>
  <xr:revisionPtr revIDLastSave="0" documentId="13_ncr:1_{2649EDE2-1E79-034F-BAD4-FA143468107D}" xr6:coauthVersionLast="47" xr6:coauthVersionMax="47" xr10:uidLastSave="{00000000-0000-0000-0000-000000000000}"/>
  <bookViews>
    <workbookView xWindow="28120" yWindow="4520" windowWidth="30240" windowHeight="18980" xr2:uid="{00000000-000D-0000-FFFF-FFFF00000000}"/>
  </bookViews>
  <sheets>
    <sheet name="Journal_BARDY_MAXIME" sheetId="1" r:id="rId1"/>
  </sheets>
  <definedNames>
    <definedName name="_xlnm.Print_Titles" localSheetId="0">Journal_BARDY_MAXIME!$1:$5,Journal_BARDY_MAXIME!$B:$D</definedName>
    <definedName name="_xlnm.Print_Area" localSheetId="0">Journal_BARDY_MAXIME!$A$1:$D$84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2" i="1" l="1"/>
  <c r="D75" i="1"/>
  <c r="D68" i="1"/>
  <c r="D61" i="1"/>
  <c r="D54" i="1"/>
  <c r="D47" i="1"/>
  <c r="D40" i="1"/>
  <c r="D33" i="1"/>
  <c r="D25" i="1"/>
  <c r="D18" i="1"/>
  <c r="D11" i="1"/>
  <c r="D84" i="1" l="1"/>
</calcChain>
</file>

<file path=xl/sharedStrings.xml><?xml version="1.0" encoding="utf-8"?>
<sst xmlns="http://schemas.openxmlformats.org/spreadsheetml/2006/main" count="74" uniqueCount="50">
  <si>
    <t xml:space="preserve">Projet : Exploration sécurisée de galeries spéléologiques                            </t>
  </si>
  <si>
    <t>Maxime Bardy</t>
  </si>
  <si>
    <t>Date</t>
  </si>
  <si>
    <t>Travail effectué</t>
  </si>
  <si>
    <t>Temps</t>
  </si>
  <si>
    <t>[H.h]</t>
  </si>
  <si>
    <t>Analyse du besoin + définition du périmètre (exploration sécurisée, contraintes module).</t>
  </si>
  <si>
    <t>Ébauche du diagramme de cas d’utilisation (acteurs, scénarios principaux).</t>
  </si>
  <si>
    <t>Création / découpage du backlog (EPICs, premières tâches Kanban).</t>
  </si>
  <si>
    <t>Réflexion personnelle ↓↓↓</t>
  </si>
  <si>
    <t>Total &gt;</t>
  </si>
  <si>
    <t>Corrections et finalisation du cahier des charges + mise en forme.</t>
  </si>
  <si>
    <t>Préparation kickoff / échanges client (mail + PV séance).</t>
  </si>
  <si>
    <t>Mise à jour planning (lundi journée + mardi matin) et priorités V1.</t>
  </si>
  <si>
    <t>Mise en place du projet Java (structure packages, libs JXInput/Phidget).</t>
  </si>
  <si>
    <t>Implémentation lecture manette : axes + boutons + deadzone + affichage console.</t>
  </si>
  <si>
    <t>Tests manette sur PC + ajustements (poll loop, stabilité).</t>
  </si>
  <si>
    <t>Début intégration manette → rover (boucle téléop, modes vitesse).</t>
  </si>
  <si>
    <t>Daily Scrum (avancement + points bloquants).</t>
  </si>
  <si>
    <t>Finalisation du module manette (JXInput) : lecture sticks/boutons, deadzone, batterie (XInput 1.4) et vibrations.</t>
  </si>
  <si>
    <t>Reprise &amp; fusion du code rover (base Cyril/Romain) + adaptation connexion Phidget + mapping manette → moteurs.</t>
  </si>
  <si>
    <t>Implémentation et test de l’arrêt d’urgence sur B (E‑STOP) + reset.</t>
  </si>
  <si>
    <t>Vibrations d’alerte : batterie faible + perte de liaison rover (commentaire prêt pour choc plus tard).</t>
  </si>
  <si>
    <t>Total général &gt;</t>
  </si>
  <si>
    <t>Insérer les lignes au-dessus de celle-ci !</t>
  </si>
  <si>
    <t>Congé</t>
  </si>
  <si>
    <t>J’ai aidé à clarifier le périmètre et à poser des bases propres (use case + backlog). J’ai trouvé l’ambiance motivante et tout le monde était impliqué. Prochaine étape pour moi : commencer concrètement le dev manette/rover et préparer la validation du planning avec le client.</t>
  </si>
  <si>
    <t>Aujourd’hui, j’ai surtout travaillé sur la cohérence des documents pour qu’ils soient vraiment “présentables” et faciles à valider. J’ai aimé le fait qu’on soit tous alignés sur les livrables et qu’on avance sans perdre de temps. Prochaine étape : attaquer l’implémentation technique (lecture manette + connexion rover) et avoir un premier test simple qui tourne.</t>
  </si>
  <si>
    <t>J’ai consolidé tout ce qui touche à la gestion de projet (planning, use case, cahier des charges) et j’ai commencé à basculer sur l’intégration technique. J’ai trouvé que l’équipe bossait sérieusement et qu’on communiquait bien, ce qui m’a aidé à avancer plus vite. Prochaine étape : réussir à faire tourner les moteurs et les liers avec la manette.</t>
  </si>
  <si>
    <t>J’ai terminé la partie manette pour qu’elle soit stable, puis j’ai repris le début de ce que Cyril et Romain avaient fait pour fusionner les modules et que tout fonctionne ensemble. Au final, je suis content du résultat : la manette pilote bien le rover (moteurs Phidget), avec l’E-STOP sur B et les vibrations d’alerte (batterie faible / perte de liaison). Franchement j’ai bien aimé l’ambiance, je trouve qu’on a tous bien bossé et qu’on commence à avoir un vrai système qui ressemble à quelque chose.</t>
  </si>
  <si>
    <t>Rendez-vous client / encadrant : démo du rover + retours + points à améliorer/valider.</t>
  </si>
  <si>
    <t>Debug rover : identification + correction d’un bug</t>
  </si>
  <si>
    <t xml:space="preserve">Rédaction du PV de séance </t>
  </si>
  <si>
    <t>Daily Scrum (point avancement + objectifs de reprise après la pause)</t>
  </si>
  <si>
    <t>Reprise du projet relecture rapide des docs et du backlog pour se remettre dedans.</t>
  </si>
  <si>
    <t>Mise à jour / vérification du backlog</t>
  </si>
  <si>
    <t>Reprise du projet relancer l'app ce remettre dans le code refaire tout fonctionner</t>
  </si>
  <si>
    <t>Documentation du projet / vérification et ajout de ma part</t>
  </si>
  <si>
    <t xml:space="preserve">Daily Scrum </t>
  </si>
  <si>
    <t>Daily Scrum</t>
  </si>
  <si>
    <t>Analyse et conception pour le fil d'arian</t>
  </si>
  <si>
    <t>V1 du fil d'arian</t>
  </si>
  <si>
    <t>Documentation pour le fil d'arian</t>
  </si>
  <si>
    <t>Aujourd'hui notre Daily Scrum était vraiment bien et mieux que les autres parce que en ayant corriger les taches sur le kanban hier j'ai vue que l'équipe arrivait mieux à mettre un nom sur ce qu'elle avait fait et était plus au clair avec le projet alors je vois personnelement une grosse amélioration de tout le monde je suis donc assez content de voir que nous avons eu un genre de petit déclics même au niveau de notre Daily Scrum qui était beaucoup plus utile et donc bien que les derniers fois.</t>
  </si>
  <si>
    <t>Pas ma meilleur journée j'étais très fatiguer donc pas des plus productif mais je crois qu'aujourd'hui nous avons fais un gros pas en avant en refaisant ces tache dans le backlog j'ai vraiment l'impression que ça à aidé tout le monde.</t>
  </si>
  <si>
    <t>Petit problème avec le rover lors de la présentation pour le client mais à par ça la journée à été riche pour le developpement nous avons fais de grosse avancer avec le rover ! Je suis donc vraiment content de mon travail et du travail de l'équipe</t>
  </si>
  <si>
    <t>Ajout de nouvelle tâches pour de nouvelle potentiel foncitonnalité</t>
  </si>
  <si>
    <t>Finalisation du projet (correction des dernier bugs)</t>
  </si>
  <si>
    <t>Ajout d'une page de "login" pour le rover</t>
  </si>
  <si>
    <t>Aujourd'hui nous avons simplement bien travailler le projet à réussi à être compléter la documentation aussi. Je suis très content d'avoir ttravailler avec mon équipe il y a eu des doutes pas toujours tout qui à été comme sur des roulette mais nous avons tous beaucoup appris et je finis cette journée en ayant vraiment eu l'impression de nous avoir vue progresser en même temps que le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</si>
</sst>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yy;@"/>
  </numFmts>
  <fonts count="8" x14ac:knownFonts="1">
    <font>
      <sz val="10"/>
      <name val="Arial"/>
    </font>
    <font>
      <b/>
      <sz val="10"/>
      <name val="Arial"/>
      <family val="2"/>
    </font>
    <font>
      <sz val="10"/>
      <color rgb="FFFF0000"/>
      <name val="Arial"/>
      <family val="2"/>
    </font>
    <font>
      <sz val="8"/>
      <name val="Arial"/>
      <family val="2"/>
    </font>
    <font>
      <sz val="14"/>
      <name val="Arial"/>
      <family val="2"/>
    </font>
    <font>
      <b/>
      <sz val="16"/>
      <name val="Arial"/>
      <family val="2"/>
    </font>
    <font>
      <sz val="9"/>
      <name val="Arial"/>
      <family val="2"/>
    </font>
    <font>
      <b/>
      <sz val="8"/>
      <name val="Arial"/>
      <family val="2"/>
    </font>
  </fonts>
  <fills count="4">
    <fill>
      <patternFill patternType="none"/>
    </fill>
    <fill>
      <patternFill patternType="gray125"/>
    </fill>
    <fill>
      <patternFill patternType="solid">
        <fgColor theme="0" tint="-0.34998626667073579"/>
        <bgColor indexed="64"/>
      </patternFill>
    </fill>
    <fill>
      <patternFill patternType="solid">
        <fgColor theme="0"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thin">
        <color indexed="64"/>
      </left>
      <right style="thin">
        <color indexed="64"/>
      </right>
      <top style="thin">
        <color indexed="64"/>
      </top>
      <bottom/>
      <diagonal/>
    </border>
    <border>
      <left style="thin">
        <color indexed="64"/>
      </left>
      <right/>
      <top/>
      <bottom style="medium">
        <color indexed="64"/>
      </bottom>
      <diagonal/>
    </border>
    <border>
      <left style="thin">
        <color indexed="64"/>
      </left>
      <right/>
      <top style="thin">
        <color indexed="64"/>
      </top>
      <bottom/>
      <diagonal/>
    </border>
    <border>
      <left/>
      <right style="thin">
        <color indexed="64"/>
      </right>
      <top style="medium">
        <color indexed="64"/>
      </top>
      <bottom/>
      <diagonal/>
    </border>
    <border>
      <left/>
      <right style="thin">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diagonal/>
    </border>
    <border>
      <left style="thin">
        <color indexed="64"/>
      </left>
      <right/>
      <top/>
      <bottom style="thin">
        <color indexed="64"/>
      </bottom>
      <diagonal/>
    </border>
  </borders>
  <cellStyleXfs count="1">
    <xf numFmtId="0" fontId="0" fillId="0" borderId="0"/>
  </cellStyleXfs>
  <cellXfs count="47">
    <xf numFmtId="0" fontId="0" fillId="0" borderId="0" xfId="0"/>
    <xf numFmtId="0" fontId="0" fillId="0" borderId="0" xfId="0" applyProtection="1">
      <protection locked="0"/>
    </xf>
    <xf numFmtId="0" fontId="3" fillId="3" borderId="9" xfId="0" applyFont="1" applyFill="1" applyBorder="1" applyAlignment="1" applyProtection="1">
      <alignment horizontal="left" vertical="center"/>
      <protection locked="0"/>
    </xf>
    <xf numFmtId="0" fontId="3" fillId="3" borderId="13" xfId="0" applyFont="1" applyFill="1" applyBorder="1" applyAlignment="1" applyProtection="1">
      <alignment horizontal="right" vertical="center"/>
      <protection locked="0"/>
    </xf>
    <xf numFmtId="0" fontId="4" fillId="0" borderId="1" xfId="0" applyFont="1" applyBorder="1" applyAlignment="1" applyProtection="1">
      <alignment horizontal="left"/>
      <protection locked="0"/>
    </xf>
    <xf numFmtId="0" fontId="1" fillId="0" borderId="7" xfId="0" applyFont="1" applyBorder="1" applyAlignment="1" applyProtection="1">
      <alignment horizontal="center"/>
      <protection locked="0"/>
    </xf>
    <xf numFmtId="0" fontId="6" fillId="0" borderId="4" xfId="0" applyFont="1" applyBorder="1" applyAlignment="1" applyProtection="1">
      <alignment horizontal="center"/>
      <protection locked="0"/>
    </xf>
    <xf numFmtId="164" fontId="3" fillId="0" borderId="7" xfId="0" applyNumberFormat="1" applyFont="1" applyBorder="1" applyAlignment="1" applyProtection="1">
      <alignment horizontal="center" vertical="center"/>
      <protection locked="0"/>
    </xf>
    <xf numFmtId="164" fontId="3" fillId="0" borderId="5" xfId="0" applyNumberFormat="1" applyFont="1" applyBorder="1" applyAlignment="1" applyProtection="1">
      <alignment horizontal="center" vertical="center"/>
      <protection locked="0"/>
    </xf>
    <xf numFmtId="164" fontId="3" fillId="0" borderId="1" xfId="0" applyNumberFormat="1" applyFont="1" applyBorder="1" applyAlignment="1" applyProtection="1">
      <alignment horizontal="center" vertical="center"/>
      <protection locked="0"/>
    </xf>
    <xf numFmtId="0" fontId="3" fillId="0" borderId="0" xfId="0" applyFont="1" applyAlignment="1" applyProtection="1">
      <alignment horizontal="left" vertical="top" wrapText="1"/>
      <protection locked="0"/>
    </xf>
    <xf numFmtId="165" fontId="0" fillId="0" borderId="0" xfId="0" applyNumberFormat="1" applyAlignment="1" applyProtection="1">
      <alignment horizontal="center" vertical="center"/>
      <protection locked="0"/>
    </xf>
    <xf numFmtId="164" fontId="7" fillId="0" borderId="1" xfId="0" applyNumberFormat="1" applyFont="1" applyBorder="1" applyAlignment="1" applyProtection="1">
      <alignment horizontal="center" vertical="center"/>
      <protection locked="0"/>
    </xf>
    <xf numFmtId="0" fontId="3" fillId="0" borderId="0" xfId="0" applyFont="1" applyProtection="1">
      <protection locked="0"/>
    </xf>
    <xf numFmtId="0" fontId="3" fillId="0" borderId="5" xfId="0" applyFont="1" applyBorder="1" applyAlignment="1" applyProtection="1">
      <alignment horizontal="left" vertical="center"/>
      <protection locked="0"/>
    </xf>
    <xf numFmtId="0" fontId="0" fillId="0" borderId="6" xfId="0" applyBorder="1" applyProtection="1">
      <protection locked="0"/>
    </xf>
    <xf numFmtId="0" fontId="3" fillId="0" borderId="5" xfId="0" applyFont="1" applyBorder="1" applyAlignment="1" applyProtection="1">
      <alignment vertical="top" wrapText="1"/>
      <protection locked="0"/>
    </xf>
    <xf numFmtId="0" fontId="3" fillId="0" borderId="7" xfId="0" applyFont="1" applyBorder="1" applyAlignment="1" applyProtection="1">
      <alignment horizontal="left" vertical="center"/>
      <protection locked="0"/>
    </xf>
    <xf numFmtId="0" fontId="0" fillId="0" borderId="13" xfId="0" applyBorder="1" applyProtection="1">
      <protection locked="0"/>
    </xf>
    <xf numFmtId="165" fontId="0" fillId="0" borderId="1" xfId="0" applyNumberFormat="1" applyBorder="1" applyAlignment="1" applyProtection="1">
      <alignment horizontal="center" vertical="center"/>
      <protection locked="0"/>
    </xf>
    <xf numFmtId="0" fontId="0" fillId="0" borderId="5" xfId="0" applyBorder="1" applyProtection="1">
      <protection locked="0"/>
    </xf>
    <xf numFmtId="0" fontId="0" fillId="0" borderId="2" xfId="0" applyBorder="1" applyProtection="1">
      <protection locked="0"/>
    </xf>
    <xf numFmtId="165" fontId="0" fillId="0" borderId="7" xfId="0" applyNumberFormat="1" applyBorder="1" applyAlignment="1" applyProtection="1">
      <alignment horizontal="center" vertical="center"/>
      <protection locked="0"/>
    </xf>
    <xf numFmtId="0" fontId="3" fillId="0" borderId="7" xfId="0" applyFont="1" applyBorder="1" applyAlignment="1" applyProtection="1">
      <alignment vertical="top" wrapText="1"/>
      <protection locked="0"/>
    </xf>
    <xf numFmtId="0" fontId="3" fillId="0" borderId="2" xfId="0" applyFont="1" applyBorder="1" applyAlignment="1" applyProtection="1">
      <alignment horizontal="left" vertical="top" wrapText="1"/>
      <protection locked="0"/>
    </xf>
    <xf numFmtId="0" fontId="0" fillId="0" borderId="14" xfId="0" applyBorder="1" applyProtection="1">
      <protection locked="0"/>
    </xf>
    <xf numFmtId="0" fontId="0" fillId="0" borderId="12" xfId="0" applyBorder="1" applyProtection="1">
      <protection locked="0"/>
    </xf>
    <xf numFmtId="0" fontId="0" fillId="0" borderId="0" xfId="0" applyProtection="1">
      <protection locked="0"/>
    </xf>
    <xf numFmtId="0" fontId="3" fillId="0" borderId="5" xfId="0" applyFont="1" applyBorder="1" applyAlignment="1" applyProtection="1">
      <alignment horizontal="left" vertical="top" wrapText="1"/>
      <protection locked="0"/>
    </xf>
    <xf numFmtId="0" fontId="3" fillId="0" borderId="3" xfId="0" applyFont="1" applyBorder="1" applyAlignment="1" applyProtection="1">
      <alignment vertical="top" wrapText="1"/>
      <protection locked="0"/>
    </xf>
    <xf numFmtId="0" fontId="0" fillId="0" borderId="10" xfId="0" applyBorder="1" applyProtection="1">
      <protection locked="0"/>
    </xf>
    <xf numFmtId="165" fontId="0" fillId="0" borderId="5" xfId="0" applyNumberFormat="1" applyBorder="1" applyAlignment="1" applyProtection="1">
      <alignment horizontal="center" vertical="center"/>
      <protection locked="0"/>
    </xf>
    <xf numFmtId="0" fontId="4" fillId="0" borderId="6" xfId="0" applyFont="1" applyBorder="1" applyAlignment="1" applyProtection="1">
      <alignment horizontal="left"/>
      <protection locked="0"/>
    </xf>
    <xf numFmtId="0" fontId="3" fillId="0" borderId="17" xfId="0" applyFont="1" applyBorder="1" applyAlignment="1" applyProtection="1">
      <alignment horizontal="left" vertical="center"/>
      <protection locked="0"/>
    </xf>
    <xf numFmtId="0" fontId="3" fillId="0" borderId="6" xfId="0" applyFont="1" applyBorder="1" applyAlignment="1" applyProtection="1">
      <alignment horizontal="left" vertical="center"/>
      <protection locked="0"/>
    </xf>
    <xf numFmtId="0" fontId="3" fillId="0" borderId="18" xfId="0" applyFont="1" applyBorder="1" applyAlignment="1" applyProtection="1">
      <alignment horizontal="left" vertical="center"/>
      <protection locked="0"/>
    </xf>
    <xf numFmtId="0" fontId="3" fillId="0" borderId="12" xfId="0" applyFont="1" applyBorder="1" applyAlignment="1" applyProtection="1">
      <alignment horizontal="left" vertical="center"/>
      <protection locked="0"/>
    </xf>
    <xf numFmtId="0" fontId="1" fillId="0" borderId="16" xfId="0" applyFont="1" applyBorder="1" applyAlignment="1" applyProtection="1">
      <alignment horizontal="left" vertical="center"/>
      <protection locked="0"/>
    </xf>
    <xf numFmtId="0" fontId="0" fillId="0" borderId="8" xfId="0" applyBorder="1" applyProtection="1">
      <protection locked="0"/>
    </xf>
    <xf numFmtId="0" fontId="0" fillId="0" borderId="11" xfId="0" applyBorder="1" applyProtection="1">
      <protection locked="0"/>
    </xf>
    <xf numFmtId="0" fontId="3" fillId="0" borderId="9" xfId="0" applyFont="1" applyBorder="1" applyAlignment="1" applyProtection="1">
      <alignment horizontal="left" vertical="center"/>
      <protection locked="0"/>
    </xf>
    <xf numFmtId="0" fontId="3" fillId="0" borderId="13" xfId="0" applyFont="1" applyBorder="1" applyAlignment="1" applyProtection="1">
      <alignment horizontal="left" vertical="center"/>
      <protection locked="0"/>
    </xf>
    <xf numFmtId="0" fontId="2" fillId="2" borderId="0" xfId="0" applyFont="1" applyFill="1" applyAlignment="1" applyProtection="1">
      <alignment horizontal="center"/>
      <protection locked="0"/>
    </xf>
    <xf numFmtId="165" fontId="0" fillId="0" borderId="3" xfId="0" applyNumberFormat="1" applyBorder="1" applyAlignment="1" applyProtection="1">
      <alignment horizontal="center" vertical="center"/>
      <protection locked="0"/>
    </xf>
    <xf numFmtId="0" fontId="5" fillId="0" borderId="0" xfId="0" applyFont="1" applyAlignment="1" applyProtection="1">
      <alignment horizontal="left"/>
      <protection locked="0"/>
    </xf>
    <xf numFmtId="0" fontId="1" fillId="0" borderId="15" xfId="0" applyFont="1" applyBorder="1" applyAlignment="1" applyProtection="1">
      <alignment horizontal="left" vertical="center"/>
      <protection locked="0"/>
    </xf>
    <xf numFmtId="0" fontId="3" fillId="0" borderId="2" xfId="0" applyFont="1" applyBorder="1" applyAlignment="1" applyProtection="1">
      <alignment vertical="top" wrapText="1"/>
      <protection locked="0"/>
    </xf>
  </cellXfs>
  <cellStyles count="1">
    <cellStyle name="Normal" xfId="0" builtinId="0"/>
  </cellStyles>
  <dxfs count="22">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
      <font>
        <strike val="0"/>
        <color auto="1"/>
      </font>
      <fill>
        <patternFill>
          <bgColor rgb="FFFFC000"/>
        </patternFill>
      </fill>
    </dxf>
    <dxf>
      <font>
        <strike val="0"/>
        <color auto="1"/>
      </font>
      <fill>
        <patternFill>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5"/>
  <sheetViews>
    <sheetView tabSelected="1" zoomScale="171" zoomScaleNormal="115" zoomScaleSheetLayoutView="115" workbookViewId="0">
      <pane ySplit="1" topLeftCell="A50" activePane="bottomLeft"/>
      <selection activeCell="A5" sqref="A5:XFD5"/>
      <selection pane="bottomLeft" activeCell="B69" sqref="B69:D69"/>
    </sheetView>
  </sheetViews>
  <sheetFormatPr baseColWidth="10" defaultColWidth="11.5" defaultRowHeight="13" x14ac:dyDescent="0.15"/>
  <cols>
    <col min="1" max="1" width="11.5" style="1" customWidth="1"/>
    <col min="2" max="3" width="31.6640625" style="1" customWidth="1"/>
    <col min="4" max="4" width="15.6640625" style="1" customWidth="1"/>
    <col min="5" max="217" width="9.1640625" style="1" customWidth="1"/>
    <col min="218" max="218" width="11.5" style="1" customWidth="1"/>
    <col min="219" max="16384" width="11.5" style="1"/>
  </cols>
  <sheetData>
    <row r="1" spans="1:4" ht="20.25" customHeight="1" x14ac:dyDescent="0.2">
      <c r="A1" s="44" t="s">
        <v>0</v>
      </c>
      <c r="B1" s="27"/>
      <c r="C1" s="27"/>
      <c r="D1" s="27"/>
    </row>
    <row r="2" spans="1:4" ht="18" customHeight="1" x14ac:dyDescent="0.2">
      <c r="A2" s="32" t="s">
        <v>1</v>
      </c>
      <c r="B2" s="27"/>
      <c r="C2" s="15"/>
      <c r="D2" s="4">
        <v>1</v>
      </c>
    </row>
    <row r="4" spans="1:4" ht="12" customHeight="1" thickBot="1" x14ac:dyDescent="0.2">
      <c r="A4" s="45" t="s">
        <v>2</v>
      </c>
      <c r="B4" s="37" t="s">
        <v>3</v>
      </c>
      <c r="C4" s="18"/>
      <c r="D4" s="5" t="s">
        <v>4</v>
      </c>
    </row>
    <row r="5" spans="1:4" ht="13.5" customHeight="1" thickBot="1" x14ac:dyDescent="0.2">
      <c r="A5" s="38"/>
      <c r="B5" s="38"/>
      <c r="C5" s="39"/>
      <c r="D5" s="6" t="s">
        <v>5</v>
      </c>
    </row>
    <row r="6" spans="1:4" ht="12.75" customHeight="1" x14ac:dyDescent="0.15">
      <c r="A6" s="43">
        <v>45992</v>
      </c>
      <c r="B6" s="29" t="s">
        <v>38</v>
      </c>
      <c r="C6" s="30"/>
      <c r="D6" s="7">
        <v>0.5</v>
      </c>
    </row>
    <row r="7" spans="1:4" x14ac:dyDescent="0.15">
      <c r="A7" s="20"/>
      <c r="B7" s="16" t="s">
        <v>6</v>
      </c>
      <c r="C7" s="15"/>
      <c r="D7" s="8">
        <v>2</v>
      </c>
    </row>
    <row r="8" spans="1:4" x14ac:dyDescent="0.15">
      <c r="A8" s="20"/>
      <c r="B8" s="16" t="s">
        <v>7</v>
      </c>
      <c r="C8" s="15"/>
      <c r="D8" s="8">
        <v>2.5</v>
      </c>
    </row>
    <row r="9" spans="1:4" x14ac:dyDescent="0.15">
      <c r="A9" s="20"/>
      <c r="B9" s="16" t="s">
        <v>8</v>
      </c>
      <c r="C9" s="15"/>
      <c r="D9" s="8">
        <v>2.5</v>
      </c>
    </row>
    <row r="10" spans="1:4" x14ac:dyDescent="0.15">
      <c r="A10" s="20"/>
      <c r="B10" s="14"/>
      <c r="C10" s="15"/>
      <c r="D10" s="8"/>
    </row>
    <row r="11" spans="1:4" x14ac:dyDescent="0.15">
      <c r="A11" s="20"/>
      <c r="B11" s="2" t="s">
        <v>9</v>
      </c>
      <c r="C11" s="3" t="s">
        <v>10</v>
      </c>
      <c r="D11" s="9">
        <f>SUM(D6:D10)</f>
        <v>7.5</v>
      </c>
    </row>
    <row r="12" spans="1:4" ht="37" customHeight="1" x14ac:dyDescent="0.15">
      <c r="A12" s="20"/>
      <c r="B12" s="16" t="s">
        <v>26</v>
      </c>
      <c r="C12" s="27"/>
      <c r="D12" s="15"/>
    </row>
    <row r="13" spans="1:4" ht="12.75" customHeight="1" x14ac:dyDescent="0.15">
      <c r="A13" s="22">
        <v>45993</v>
      </c>
      <c r="B13" s="23" t="s">
        <v>38</v>
      </c>
      <c r="C13" s="18"/>
      <c r="D13" s="7">
        <v>0.5</v>
      </c>
    </row>
    <row r="14" spans="1:4" x14ac:dyDescent="0.15">
      <c r="A14" s="20"/>
      <c r="B14" s="16" t="s">
        <v>11</v>
      </c>
      <c r="C14" s="15"/>
      <c r="D14" s="8">
        <v>1.5</v>
      </c>
    </row>
    <row r="15" spans="1:4" x14ac:dyDescent="0.15">
      <c r="A15" s="20"/>
      <c r="B15" s="16" t="s">
        <v>12</v>
      </c>
      <c r="C15" s="15"/>
      <c r="D15" s="8">
        <v>1</v>
      </c>
    </row>
    <row r="16" spans="1:4" x14ac:dyDescent="0.15">
      <c r="A16" s="20"/>
      <c r="B16" s="16" t="s">
        <v>13</v>
      </c>
      <c r="C16" s="15"/>
      <c r="D16" s="8">
        <v>0.5</v>
      </c>
    </row>
    <row r="17" spans="1:4" x14ac:dyDescent="0.15">
      <c r="A17" s="20"/>
      <c r="B17" s="14"/>
      <c r="C17" s="15"/>
      <c r="D17" s="8"/>
    </row>
    <row r="18" spans="1:4" x14ac:dyDescent="0.15">
      <c r="A18" s="20"/>
      <c r="B18" s="2" t="s">
        <v>9</v>
      </c>
      <c r="C18" s="3" t="s">
        <v>10</v>
      </c>
      <c r="D18" s="9">
        <f>SUM(D13:D17)</f>
        <v>3.5</v>
      </c>
    </row>
    <row r="19" spans="1:4" ht="39" customHeight="1" x14ac:dyDescent="0.15">
      <c r="A19" s="20"/>
      <c r="B19" s="16" t="s">
        <v>27</v>
      </c>
      <c r="C19" s="27"/>
      <c r="D19" s="15"/>
    </row>
    <row r="20" spans="1:4" ht="12.75" customHeight="1" x14ac:dyDescent="0.15">
      <c r="A20" s="22">
        <v>45999</v>
      </c>
      <c r="B20" s="23" t="s">
        <v>25</v>
      </c>
      <c r="C20" s="18"/>
      <c r="D20" s="7"/>
    </row>
    <row r="21" spans="1:4" x14ac:dyDescent="0.15">
      <c r="A21" s="20"/>
      <c r="D21" s="8"/>
    </row>
    <row r="22" spans="1:4" x14ac:dyDescent="0.15">
      <c r="A22" s="20"/>
      <c r="D22" s="8"/>
    </row>
    <row r="23" spans="1:4" x14ac:dyDescent="0.15">
      <c r="A23" s="20"/>
      <c r="D23" s="8"/>
    </row>
    <row r="24" spans="1:4" x14ac:dyDescent="0.15">
      <c r="A24" s="20"/>
      <c r="B24" s="16"/>
      <c r="C24" s="15"/>
      <c r="D24" s="8"/>
    </row>
    <row r="25" spans="1:4" x14ac:dyDescent="0.15">
      <c r="A25" s="20"/>
      <c r="B25" s="2" t="s">
        <v>9</v>
      </c>
      <c r="C25" s="3" t="s">
        <v>10</v>
      </c>
      <c r="D25" s="9">
        <f>SUM(D20:D24)</f>
        <v>0</v>
      </c>
    </row>
    <row r="26" spans="1:4" ht="25" customHeight="1" x14ac:dyDescent="0.15">
      <c r="A26" s="20"/>
      <c r="B26" s="16"/>
      <c r="C26" s="27"/>
      <c r="D26" s="15"/>
    </row>
    <row r="27" spans="1:4" ht="12.75" customHeight="1" x14ac:dyDescent="0.15">
      <c r="A27" s="19">
        <v>46000</v>
      </c>
      <c r="B27" s="23" t="s">
        <v>39</v>
      </c>
      <c r="C27" s="18"/>
      <c r="D27" s="7">
        <v>0.5</v>
      </c>
    </row>
    <row r="28" spans="1:4" ht="12.75" customHeight="1" x14ac:dyDescent="0.15">
      <c r="A28" s="31"/>
      <c r="B28" s="16" t="s">
        <v>14</v>
      </c>
      <c r="C28" s="15"/>
      <c r="D28" s="8">
        <v>1</v>
      </c>
    </row>
    <row r="29" spans="1:4" ht="12.75" customHeight="1" x14ac:dyDescent="0.15">
      <c r="A29" s="31"/>
      <c r="B29" s="16" t="s">
        <v>15</v>
      </c>
      <c r="C29" s="15"/>
      <c r="D29" s="8">
        <v>0.5</v>
      </c>
    </row>
    <row r="30" spans="1:4" ht="12.75" customHeight="1" x14ac:dyDescent="0.15">
      <c r="A30" s="31"/>
      <c r="B30" s="16" t="s">
        <v>16</v>
      </c>
      <c r="C30" s="15"/>
      <c r="D30" s="8">
        <v>0.5</v>
      </c>
    </row>
    <row r="31" spans="1:4" x14ac:dyDescent="0.15">
      <c r="A31" s="20"/>
      <c r="B31" s="16" t="s">
        <v>17</v>
      </c>
      <c r="C31" s="15"/>
      <c r="D31" s="8">
        <v>1</v>
      </c>
    </row>
    <row r="32" spans="1:4" x14ac:dyDescent="0.15">
      <c r="A32" s="20"/>
      <c r="B32" s="14"/>
      <c r="C32" s="15"/>
      <c r="D32" s="8"/>
    </row>
    <row r="33" spans="1:4" x14ac:dyDescent="0.15">
      <c r="A33" s="20"/>
      <c r="B33" s="2" t="s">
        <v>9</v>
      </c>
      <c r="C33" s="3" t="s">
        <v>10</v>
      </c>
      <c r="D33" s="9">
        <f>SUM(D27:D32)</f>
        <v>3.5</v>
      </c>
    </row>
    <row r="34" spans="1:4" ht="39" customHeight="1" x14ac:dyDescent="0.15">
      <c r="A34" s="21"/>
      <c r="B34" s="46" t="s">
        <v>28</v>
      </c>
      <c r="C34" s="25"/>
      <c r="D34" s="26"/>
    </row>
    <row r="35" spans="1:4" ht="12.75" customHeight="1" x14ac:dyDescent="0.15">
      <c r="A35" s="19">
        <v>46006</v>
      </c>
      <c r="B35" s="23" t="s">
        <v>18</v>
      </c>
      <c r="C35" s="18"/>
      <c r="D35" s="7">
        <v>0.5</v>
      </c>
    </row>
    <row r="36" spans="1:4" x14ac:dyDescent="0.15">
      <c r="A36" s="20"/>
      <c r="B36" s="16" t="s">
        <v>19</v>
      </c>
      <c r="C36" s="15"/>
      <c r="D36" s="8">
        <v>2</v>
      </c>
    </row>
    <row r="37" spans="1:4" x14ac:dyDescent="0.15">
      <c r="A37" s="20"/>
      <c r="B37" s="16" t="s">
        <v>20</v>
      </c>
      <c r="C37" s="15"/>
      <c r="D37" s="8">
        <v>2.5</v>
      </c>
    </row>
    <row r="38" spans="1:4" x14ac:dyDescent="0.15">
      <c r="A38" s="20"/>
      <c r="B38" s="16" t="s">
        <v>21</v>
      </c>
      <c r="C38" s="15"/>
      <c r="D38" s="8">
        <v>1.5</v>
      </c>
    </row>
    <row r="39" spans="1:4" x14ac:dyDescent="0.15">
      <c r="A39" s="20"/>
      <c r="B39" s="16" t="s">
        <v>22</v>
      </c>
      <c r="C39" s="15"/>
      <c r="D39" s="8">
        <v>1.5</v>
      </c>
    </row>
    <row r="40" spans="1:4" x14ac:dyDescent="0.15">
      <c r="A40" s="20"/>
      <c r="B40" s="2" t="s">
        <v>9</v>
      </c>
      <c r="C40" s="3" t="s">
        <v>10</v>
      </c>
      <c r="D40" s="9">
        <f>SUM(D35:D39)</f>
        <v>8</v>
      </c>
    </row>
    <row r="41" spans="1:4" ht="48" customHeight="1" x14ac:dyDescent="0.15">
      <c r="A41" s="21"/>
      <c r="B41" s="46" t="s">
        <v>29</v>
      </c>
      <c r="C41" s="25"/>
      <c r="D41" s="26"/>
    </row>
    <row r="42" spans="1:4" ht="12.75" customHeight="1" x14ac:dyDescent="0.15">
      <c r="A42" s="19">
        <v>46007</v>
      </c>
      <c r="B42" s="40" t="s">
        <v>39</v>
      </c>
      <c r="C42" s="41"/>
      <c r="D42" s="7">
        <v>0.5</v>
      </c>
    </row>
    <row r="43" spans="1:4" x14ac:dyDescent="0.15">
      <c r="A43" s="20"/>
      <c r="B43" s="33" t="s">
        <v>31</v>
      </c>
      <c r="C43" s="34"/>
      <c r="D43" s="8">
        <v>1.5</v>
      </c>
    </row>
    <row r="44" spans="1:4" x14ac:dyDescent="0.15">
      <c r="A44" s="20"/>
      <c r="B44" s="33" t="s">
        <v>30</v>
      </c>
      <c r="C44" s="34"/>
      <c r="D44" s="8">
        <v>1</v>
      </c>
    </row>
    <row r="45" spans="1:4" x14ac:dyDescent="0.15">
      <c r="A45" s="20"/>
      <c r="B45" s="35" t="s">
        <v>32</v>
      </c>
      <c r="C45" s="36"/>
      <c r="D45" s="8">
        <v>0.5</v>
      </c>
    </row>
    <row r="46" spans="1:4" x14ac:dyDescent="0.15">
      <c r="A46" s="20"/>
      <c r="D46" s="8"/>
    </row>
    <row r="47" spans="1:4" x14ac:dyDescent="0.15">
      <c r="A47" s="20"/>
      <c r="B47" s="2" t="s">
        <v>9</v>
      </c>
      <c r="C47" s="3" t="s">
        <v>10</v>
      </c>
      <c r="D47" s="9">
        <f>SUM(D42:D46)</f>
        <v>3.5</v>
      </c>
    </row>
    <row r="48" spans="1:4" ht="25" customHeight="1" x14ac:dyDescent="0.15">
      <c r="A48" s="21"/>
      <c r="B48" s="24" t="s">
        <v>45</v>
      </c>
      <c r="C48" s="25"/>
      <c r="D48" s="26"/>
    </row>
    <row r="49" spans="1:4" ht="12.75" customHeight="1" x14ac:dyDescent="0.15">
      <c r="A49" s="19">
        <v>46027</v>
      </c>
      <c r="B49" s="17" t="s">
        <v>33</v>
      </c>
      <c r="C49" s="18"/>
      <c r="D49" s="7">
        <v>0.5</v>
      </c>
    </row>
    <row r="50" spans="1:4" x14ac:dyDescent="0.15">
      <c r="A50" s="20"/>
      <c r="B50" s="13" t="s">
        <v>36</v>
      </c>
      <c r="D50" s="8">
        <v>1.5</v>
      </c>
    </row>
    <row r="51" spans="1:4" x14ac:dyDescent="0.15">
      <c r="A51" s="20"/>
      <c r="B51" s="14" t="s">
        <v>34</v>
      </c>
      <c r="C51" s="15"/>
      <c r="D51" s="8">
        <v>1</v>
      </c>
    </row>
    <row r="52" spans="1:4" x14ac:dyDescent="0.15">
      <c r="A52" s="20"/>
      <c r="B52" s="14" t="s">
        <v>35</v>
      </c>
      <c r="C52" s="15"/>
      <c r="D52" s="8">
        <v>1</v>
      </c>
    </row>
    <row r="53" spans="1:4" x14ac:dyDescent="0.15">
      <c r="A53" s="20"/>
      <c r="B53" s="14" t="s">
        <v>37</v>
      </c>
      <c r="C53" s="15"/>
      <c r="D53" s="8">
        <v>3.5</v>
      </c>
    </row>
    <row r="54" spans="1:4" x14ac:dyDescent="0.15">
      <c r="A54" s="20"/>
      <c r="B54" s="2" t="s">
        <v>9</v>
      </c>
      <c r="C54" s="3" t="s">
        <v>10</v>
      </c>
      <c r="D54" s="9">
        <f>SUM(D49:D53)</f>
        <v>7.5</v>
      </c>
    </row>
    <row r="55" spans="1:4" ht="25" customHeight="1" x14ac:dyDescent="0.15">
      <c r="A55" s="21"/>
      <c r="B55" s="24" t="s">
        <v>44</v>
      </c>
      <c r="C55" s="25"/>
      <c r="D55" s="26"/>
    </row>
    <row r="56" spans="1:4" ht="12.75" customHeight="1" x14ac:dyDescent="0.15">
      <c r="A56" s="19">
        <v>46028</v>
      </c>
      <c r="B56" s="17" t="s">
        <v>38</v>
      </c>
      <c r="C56" s="18"/>
      <c r="D56" s="7">
        <v>0.5</v>
      </c>
    </row>
    <row r="57" spans="1:4" x14ac:dyDescent="0.15">
      <c r="A57" s="20"/>
      <c r="B57" s="14" t="s">
        <v>40</v>
      </c>
      <c r="C57" s="15"/>
      <c r="D57" s="8">
        <v>0.5</v>
      </c>
    </row>
    <row r="58" spans="1:4" x14ac:dyDescent="0.15">
      <c r="A58" s="20"/>
      <c r="B58" s="14" t="s">
        <v>41</v>
      </c>
      <c r="C58" s="15"/>
      <c r="D58" s="8">
        <v>1.5</v>
      </c>
    </row>
    <row r="59" spans="1:4" x14ac:dyDescent="0.15">
      <c r="A59" s="20"/>
      <c r="B59" s="14" t="s">
        <v>42</v>
      </c>
      <c r="C59" s="15"/>
      <c r="D59" s="8">
        <v>1</v>
      </c>
    </row>
    <row r="60" spans="1:4" x14ac:dyDescent="0.15">
      <c r="A60" s="20"/>
      <c r="B60" s="14"/>
      <c r="C60" s="15"/>
      <c r="D60" s="8"/>
    </row>
    <row r="61" spans="1:4" x14ac:dyDescent="0.15">
      <c r="A61" s="20"/>
      <c r="B61" s="2" t="s">
        <v>9</v>
      </c>
      <c r="C61" s="3" t="s">
        <v>10</v>
      </c>
      <c r="D61" s="9">
        <f>SUM(D56:D60)</f>
        <v>3.5</v>
      </c>
    </row>
    <row r="62" spans="1:4" ht="45" customHeight="1" x14ac:dyDescent="0.15">
      <c r="A62" s="21"/>
      <c r="B62" s="24" t="s">
        <v>43</v>
      </c>
      <c r="C62" s="25"/>
      <c r="D62" s="26"/>
    </row>
    <row r="63" spans="1:4" ht="12.75" customHeight="1" x14ac:dyDescent="0.15">
      <c r="A63" s="22">
        <v>46034</v>
      </c>
      <c r="B63" s="17" t="s">
        <v>39</v>
      </c>
      <c r="C63" s="18"/>
      <c r="D63" s="7">
        <v>0.5</v>
      </c>
    </row>
    <row r="64" spans="1:4" x14ac:dyDescent="0.15">
      <c r="A64" s="20"/>
      <c r="B64" s="14" t="s">
        <v>46</v>
      </c>
      <c r="C64" s="15"/>
      <c r="D64" s="8">
        <v>0.5</v>
      </c>
    </row>
    <row r="65" spans="1:4" x14ac:dyDescent="0.15">
      <c r="A65" s="20"/>
      <c r="B65" s="14" t="s">
        <v>47</v>
      </c>
      <c r="C65" s="15"/>
      <c r="D65" s="8">
        <v>1.5</v>
      </c>
    </row>
    <row r="66" spans="1:4" x14ac:dyDescent="0.15">
      <c r="A66" s="20"/>
      <c r="B66" s="14" t="s">
        <v>48</v>
      </c>
      <c r="C66" s="15"/>
      <c r="D66" s="8">
        <v>1</v>
      </c>
    </row>
    <row r="67" spans="1:4" x14ac:dyDescent="0.15">
      <c r="A67" s="20"/>
      <c r="B67" s="14"/>
      <c r="C67" s="15"/>
      <c r="D67" s="8"/>
    </row>
    <row r="68" spans="1:4" x14ac:dyDescent="0.15">
      <c r="A68" s="20"/>
      <c r="B68" s="2" t="s">
        <v>9</v>
      </c>
      <c r="C68" s="3" t="s">
        <v>10</v>
      </c>
      <c r="D68" s="9">
        <f>SUM(D63:D67)</f>
        <v>3.5</v>
      </c>
    </row>
    <row r="69" spans="1:4" ht="47" customHeight="1" x14ac:dyDescent="0.15">
      <c r="A69" s="20"/>
      <c r="B69" s="28" t="s">
        <v>49</v>
      </c>
      <c r="C69" s="27"/>
      <c r="D69" s="15"/>
    </row>
    <row r="70" spans="1:4" ht="12.75" customHeight="1" x14ac:dyDescent="0.15">
      <c r="A70" s="19"/>
      <c r="B70" s="17"/>
      <c r="C70" s="18"/>
      <c r="D70" s="7"/>
    </row>
    <row r="71" spans="1:4" x14ac:dyDescent="0.15">
      <c r="A71" s="20"/>
      <c r="B71" s="14"/>
      <c r="C71" s="15"/>
      <c r="D71" s="8"/>
    </row>
    <row r="72" spans="1:4" x14ac:dyDescent="0.15">
      <c r="A72" s="20"/>
      <c r="B72" s="14"/>
      <c r="C72" s="15"/>
      <c r="D72" s="8"/>
    </row>
    <row r="73" spans="1:4" x14ac:dyDescent="0.15">
      <c r="A73" s="20"/>
      <c r="B73" s="14"/>
      <c r="C73" s="15"/>
      <c r="D73" s="8"/>
    </row>
    <row r="74" spans="1:4" x14ac:dyDescent="0.15">
      <c r="A74" s="20"/>
      <c r="B74" s="14"/>
      <c r="C74" s="15"/>
      <c r="D74" s="8"/>
    </row>
    <row r="75" spans="1:4" x14ac:dyDescent="0.15">
      <c r="A75" s="20"/>
      <c r="B75" s="2" t="s">
        <v>9</v>
      </c>
      <c r="C75" s="3" t="s">
        <v>10</v>
      </c>
      <c r="D75" s="9">
        <f>SUM(D70:D74)</f>
        <v>0</v>
      </c>
    </row>
    <row r="76" spans="1:4" ht="25" customHeight="1" x14ac:dyDescent="0.15">
      <c r="A76" s="21"/>
      <c r="B76" s="24"/>
      <c r="C76" s="25"/>
      <c r="D76" s="26"/>
    </row>
    <row r="77" spans="1:4" ht="12.75" customHeight="1" x14ac:dyDescent="0.15">
      <c r="A77" s="19"/>
      <c r="B77" s="17"/>
      <c r="C77" s="18"/>
      <c r="D77" s="7"/>
    </row>
    <row r="78" spans="1:4" x14ac:dyDescent="0.15">
      <c r="A78" s="20"/>
      <c r="B78" s="14"/>
      <c r="C78" s="15"/>
      <c r="D78" s="8"/>
    </row>
    <row r="79" spans="1:4" x14ac:dyDescent="0.15">
      <c r="A79" s="20"/>
      <c r="B79" s="14"/>
      <c r="C79" s="15"/>
      <c r="D79" s="8"/>
    </row>
    <row r="80" spans="1:4" x14ac:dyDescent="0.15">
      <c r="A80" s="20"/>
      <c r="B80" s="14"/>
      <c r="C80" s="15"/>
      <c r="D80" s="8"/>
    </row>
    <row r="81" spans="1:4" x14ac:dyDescent="0.15">
      <c r="A81" s="20"/>
      <c r="B81" s="14"/>
      <c r="C81" s="15"/>
      <c r="D81" s="8"/>
    </row>
    <row r="82" spans="1:4" x14ac:dyDescent="0.15">
      <c r="A82" s="20"/>
      <c r="B82" s="2" t="s">
        <v>9</v>
      </c>
      <c r="C82" s="3" t="s">
        <v>10</v>
      </c>
      <c r="D82" s="9">
        <f>SUM(D77:D81)</f>
        <v>0</v>
      </c>
    </row>
    <row r="83" spans="1:4" ht="25" customHeight="1" x14ac:dyDescent="0.15">
      <c r="A83" s="21"/>
      <c r="B83" s="24"/>
      <c r="C83" s="25"/>
      <c r="D83" s="26"/>
    </row>
    <row r="84" spans="1:4" ht="12" customHeight="1" x14ac:dyDescent="0.15">
      <c r="A84" s="11"/>
      <c r="B84" s="10"/>
      <c r="C84" s="3" t="s">
        <v>23</v>
      </c>
      <c r="D84" s="12">
        <f>D11+D18+D25+D33+D40+D47+D54+D61+D68+D75+D82</f>
        <v>40.5</v>
      </c>
    </row>
    <row r="85" spans="1:4" x14ac:dyDescent="0.15">
      <c r="A85" s="42" t="s">
        <v>24</v>
      </c>
      <c r="B85" s="27"/>
      <c r="C85" s="27"/>
      <c r="D85" s="27"/>
    </row>
  </sheetData>
  <mergeCells count="78">
    <mergeCell ref="A85:D85"/>
    <mergeCell ref="B37:C37"/>
    <mergeCell ref="B52:C52"/>
    <mergeCell ref="A6:A12"/>
    <mergeCell ref="A1:D1"/>
    <mergeCell ref="B44:C44"/>
    <mergeCell ref="A4:A5"/>
    <mergeCell ref="B35:C35"/>
    <mergeCell ref="B9:C9"/>
    <mergeCell ref="B20:C20"/>
    <mergeCell ref="B12:D12"/>
    <mergeCell ref="B30:C30"/>
    <mergeCell ref="B41:D41"/>
    <mergeCell ref="B8:C8"/>
    <mergeCell ref="B34:D34"/>
    <mergeCell ref="B10:C10"/>
    <mergeCell ref="A2:C2"/>
    <mergeCell ref="B59:C59"/>
    <mergeCell ref="B53:C53"/>
    <mergeCell ref="B43:C43"/>
    <mergeCell ref="B17:C17"/>
    <mergeCell ref="B58:C58"/>
    <mergeCell ref="A49:A55"/>
    <mergeCell ref="B45:C45"/>
    <mergeCell ref="B49:C49"/>
    <mergeCell ref="B4:C5"/>
    <mergeCell ref="B31:C31"/>
    <mergeCell ref="A35:A41"/>
    <mergeCell ref="B38:C38"/>
    <mergeCell ref="B42:C42"/>
    <mergeCell ref="B6:C6"/>
    <mergeCell ref="B15:C15"/>
    <mergeCell ref="A27:A34"/>
    <mergeCell ref="B7:C7"/>
    <mergeCell ref="B73:C73"/>
    <mergeCell ref="B57:C57"/>
    <mergeCell ref="B72:C72"/>
    <mergeCell ref="B63:C63"/>
    <mergeCell ref="B62:D62"/>
    <mergeCell ref="B60:C60"/>
    <mergeCell ref="B24:C24"/>
    <mergeCell ref="B65:C65"/>
    <mergeCell ref="B64:C64"/>
    <mergeCell ref="B26:D26"/>
    <mergeCell ref="B83:D83"/>
    <mergeCell ref="B27:C27"/>
    <mergeCell ref="B19:D19"/>
    <mergeCell ref="B69:D69"/>
    <mergeCell ref="A63:A69"/>
    <mergeCell ref="B81:C81"/>
    <mergeCell ref="B80:C80"/>
    <mergeCell ref="B77:C77"/>
    <mergeCell ref="A77:A83"/>
    <mergeCell ref="B71:C71"/>
    <mergeCell ref="B74:C74"/>
    <mergeCell ref="B66:C66"/>
    <mergeCell ref="B79:C79"/>
    <mergeCell ref="B51:C51"/>
    <mergeCell ref="B55:D55"/>
    <mergeCell ref="B56:C56"/>
    <mergeCell ref="B16:C16"/>
    <mergeCell ref="A56:A62"/>
    <mergeCell ref="B29:C29"/>
    <mergeCell ref="B32:C32"/>
    <mergeCell ref="A20:A26"/>
    <mergeCell ref="B36:C36"/>
    <mergeCell ref="A13:A19"/>
    <mergeCell ref="B14:C14"/>
    <mergeCell ref="B13:C13"/>
    <mergeCell ref="B48:D48"/>
    <mergeCell ref="B78:C78"/>
    <mergeCell ref="B28:C28"/>
    <mergeCell ref="B70:C70"/>
    <mergeCell ref="B39:C39"/>
    <mergeCell ref="A70:A76"/>
    <mergeCell ref="A42:A48"/>
    <mergeCell ref="B67:C67"/>
    <mergeCell ref="B76:D76"/>
  </mergeCells>
  <conditionalFormatting sqref="D6:D11 D27:D33">
    <cfRule type="containsText" dxfId="21" priority="23" operator="containsText" text="Terminé">
      <formula>NOT(ISERROR(SEARCH("Terminé",D6)))</formula>
    </cfRule>
    <cfRule type="containsText" dxfId="20" priority="24" operator="containsText" text="En cours">
      <formula>NOT(ISERROR(SEARCH("En cours",D6)))</formula>
    </cfRule>
  </conditionalFormatting>
  <conditionalFormatting sqref="D13:D18">
    <cfRule type="containsText" dxfId="19" priority="21" operator="containsText" text="Terminé">
      <formula>NOT(ISERROR(SEARCH("Terminé",D13)))</formula>
    </cfRule>
    <cfRule type="containsText" dxfId="18" priority="22" operator="containsText" text="En cours">
      <formula>NOT(ISERROR(SEARCH("En cours",D13)))</formula>
    </cfRule>
  </conditionalFormatting>
  <conditionalFormatting sqref="D20:D25">
    <cfRule type="containsText" dxfId="17" priority="3" operator="containsText" text="Terminé">
      <formula>NOT(ISERROR(SEARCH("Terminé",D20)))</formula>
    </cfRule>
    <cfRule type="containsText" dxfId="16" priority="4" operator="containsText" text="En cours">
      <formula>NOT(ISERROR(SEARCH("En cours",D20)))</formula>
    </cfRule>
  </conditionalFormatting>
  <conditionalFormatting sqref="D35:D40">
    <cfRule type="containsText" dxfId="15" priority="17" operator="containsText" text="Terminé">
      <formula>NOT(ISERROR(SEARCH("Terminé",D35)))</formula>
    </cfRule>
    <cfRule type="containsText" dxfId="14" priority="18" operator="containsText" text="En cours">
      <formula>NOT(ISERROR(SEARCH("En cours",D35)))</formula>
    </cfRule>
  </conditionalFormatting>
  <conditionalFormatting sqref="D42:D47">
    <cfRule type="containsText" dxfId="13" priority="9" operator="containsText" text="Terminé">
      <formula>NOT(ISERROR(SEARCH("Terminé",D42)))</formula>
    </cfRule>
    <cfRule type="containsText" dxfId="12" priority="10" operator="containsText" text="En cours">
      <formula>NOT(ISERROR(SEARCH("En cours",D42)))</formula>
    </cfRule>
  </conditionalFormatting>
  <conditionalFormatting sqref="D49:D54">
    <cfRule type="containsText" dxfId="11" priority="7" operator="containsText" text="Terminé">
      <formula>NOT(ISERROR(SEARCH("Terminé",D49)))</formula>
    </cfRule>
    <cfRule type="containsText" dxfId="10" priority="8" operator="containsText" text="En cours">
      <formula>NOT(ISERROR(SEARCH("En cours",D49)))</formula>
    </cfRule>
  </conditionalFormatting>
  <conditionalFormatting sqref="D56:D61">
    <cfRule type="containsText" dxfId="9" priority="5" operator="containsText" text="Terminé">
      <formula>NOT(ISERROR(SEARCH("Terminé",D56)))</formula>
    </cfRule>
    <cfRule type="containsText" dxfId="8" priority="6" operator="containsText" text="En cours">
      <formula>NOT(ISERROR(SEARCH("En cours",D56)))</formula>
    </cfRule>
  </conditionalFormatting>
  <conditionalFormatting sqref="D63:D68">
    <cfRule type="containsText" dxfId="7" priority="15" operator="containsText" text="Terminé">
      <formula>NOT(ISERROR(SEARCH("Terminé",D63)))</formula>
    </cfRule>
    <cfRule type="containsText" dxfId="6" priority="16" operator="containsText" text="En cours">
      <formula>NOT(ISERROR(SEARCH("En cours",D63)))</formula>
    </cfRule>
  </conditionalFormatting>
  <conditionalFormatting sqref="D70:D75">
    <cfRule type="containsText" dxfId="5" priority="13" operator="containsText" text="Terminé">
      <formula>NOT(ISERROR(SEARCH("Terminé",D70)))</formula>
    </cfRule>
    <cfRule type="containsText" dxfId="4" priority="14" operator="containsText" text="En cours">
      <formula>NOT(ISERROR(SEARCH("En cours",D70)))</formula>
    </cfRule>
  </conditionalFormatting>
  <conditionalFormatting sqref="D77:D82">
    <cfRule type="containsText" dxfId="3" priority="11" operator="containsText" text="Terminé">
      <formula>NOT(ISERROR(SEARCH("Terminé",D77)))</formula>
    </cfRule>
    <cfRule type="containsText" dxfId="2" priority="12" operator="containsText" text="En cours">
      <formula>NOT(ISERROR(SEARCH("En cours",D77)))</formula>
    </cfRule>
  </conditionalFormatting>
  <conditionalFormatting sqref="D84">
    <cfRule type="containsText" dxfId="1" priority="1" operator="containsText" text="Terminé">
      <formula>NOT(ISERROR(SEARCH("Terminé",D84)))</formula>
    </cfRule>
    <cfRule type="containsText" dxfId="0" priority="2" operator="containsText" text="En cours">
      <formula>NOT(ISERROR(SEARCH("En cours",D84)))</formula>
    </cfRule>
  </conditionalFormatting>
  <printOptions horizontalCentered="1"/>
  <pageMargins left="0.47244094488188981" right="0.15748031496062989" top="1.4566929133858271" bottom="0.43307086614173229" header="0.31496062992125978" footer="0.19685039370078741"/>
  <pageSetup paperSize="9" orientation="portrait"/>
  <headerFooter alignWithMargins="0">
    <oddHeader>&amp;L&amp;"Arial,Gras"&amp;14Informaticien/-ne CFC&amp;"Arial,Normal"&amp;10 Travail pratique individuel 2023 (TPI)&amp;R&amp;"Arial,Gras"&amp;14 &amp;G</oddHeader>
    <oddFooter>&amp;L&amp;8 &amp;F&amp;R&amp;8 Page &amp;P/&amp;N</oddFooter>
  </headerFooter>
  <rowBreaks count="2" manualBreakCount="2">
    <brk id="48" max="16383" man="1"/>
    <brk id="84" max="3" man="1"/>
  </rowBreaks>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4" baseType="variant">
      <vt:variant>
        <vt:lpstr>Feuilles de calcul</vt:lpstr>
      </vt:variant>
      <vt:variant>
        <vt:i4>1</vt:i4>
      </vt:variant>
      <vt:variant>
        <vt:lpstr>Plages nommées</vt:lpstr>
      </vt:variant>
      <vt:variant>
        <vt:i4>2</vt:i4>
      </vt:variant>
    </vt:vector>
  </HeadingPairs>
  <TitlesOfParts>
    <vt:vector size="3" baseType="lpstr">
      <vt:lpstr>Journal_BARDY_MAXIME</vt:lpstr>
      <vt:lpstr>Journal_BARDY_MAXIME!Impression_des_titres</vt:lpstr>
      <vt:lpstr>Journal_BARDY_MAXIME!Zone_d_impression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Guisolan Christian</dc:creator>
  <cp:lastModifiedBy>Bardy Maxime</cp:lastModifiedBy>
  <cp:lastPrinted>2022-01-05T15:16:39Z</cp:lastPrinted>
  <dcterms:created xsi:type="dcterms:W3CDTF">2002-03-11T12:50:08Z</dcterms:created>
  <dcterms:modified xsi:type="dcterms:W3CDTF">2026-01-12T19:47:51Z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0x0101006BD0882D7B13D249A8B88997E24B9140</vt:lpwstr>
  </property>
  <property fmtid="{D5CDD505-2E9C-101B-9397-08002B2CF9AE}" pid="3" name="MediaServiceImageTags">
    <vt:lpwstr/>
  </property>
</Properties>
</file>