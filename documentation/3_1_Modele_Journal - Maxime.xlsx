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rdyM\Downloads\"/>
    </mc:Choice>
  </mc:AlternateContent>
  <xr:revisionPtr revIDLastSave="0" documentId="13_ncr:1_{A318A167-0420-4B84-A3BD-13D2F19D0C9B}" xr6:coauthVersionLast="47" xr6:coauthVersionMax="47" xr10:uidLastSave="{00000000-0000-0000-0000-000000000000}"/>
  <bookViews>
    <workbookView xWindow="28680" yWindow="-120" windowWidth="29040" windowHeight="15720" xr2:uid="{00000000-000D-0000-FFFF-FFFF00000000}"/>
  </bookViews>
  <sheets>
    <sheet name="Journal_BARDY_MAXIME" sheetId="1" r:id="rId1"/>
  </sheets>
  <definedNames>
    <definedName name="_xlnm.Print_Titles" localSheetId="0">Journal_BARDY_MAXIME!$1:$5,Journal_BARDY_MAXIME!$B:$D</definedName>
    <definedName name="_xlnm.Print_Area" localSheetId="0">Journal_BARDY_MAXIME!$A$1:$D$84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2" i="1" l="1"/>
  <c r="D75" i="1"/>
  <c r="D68" i="1"/>
  <c r="D61" i="1"/>
  <c r="D54" i="1"/>
  <c r="D47" i="1"/>
  <c r="D40" i="1"/>
  <c r="D33" i="1"/>
  <c r="D25" i="1"/>
  <c r="D18" i="1"/>
  <c r="D11" i="1"/>
  <c r="D84" i="1" l="1"/>
</calcChain>
</file>

<file path=xl/sharedStrings.xml><?xml version="1.0" encoding="utf-8"?>
<sst xmlns="http://schemas.openxmlformats.org/spreadsheetml/2006/main" count="53" uniqueCount="33">
  <si>
    <t xml:space="preserve">Projet : Exploration sécurisée de galeries spéléologiques                            </t>
  </si>
  <si>
    <t>Maxime Bardy</t>
  </si>
  <si>
    <t>Date</t>
  </si>
  <si>
    <t>Travail effectué</t>
  </si>
  <si>
    <t>Temps</t>
  </si>
  <si>
    <t>[H.h]</t>
  </si>
  <si>
    <t>Daily Scrum + organisation de l’équipe (répartition des rôles, objectifs de la journée).</t>
  </si>
  <si>
    <t>Analyse du besoin + définition du périmètre (exploration sécurisée, contraintes module).</t>
  </si>
  <si>
    <t>Ébauche du diagramme de cas d’utilisation (acteurs, scénarios principaux).</t>
  </si>
  <si>
    <t>Création / découpage du backlog (EPICs, premières tâches Kanban).</t>
  </si>
  <si>
    <t>Réflexion personnelle ↓↓↓</t>
  </si>
  <si>
    <t>Total &gt;</t>
  </si>
  <si>
    <t>Daily Scrum (point avancement + blocages).</t>
  </si>
  <si>
    <t>Corrections et finalisation du cahier des charges + mise en forme.</t>
  </si>
  <si>
    <t>Préparation kickoff / échanges client (mail + PV séance).</t>
  </si>
  <si>
    <t>Mise à jour planning (lundi journée + mardi matin) et priorités V1.</t>
  </si>
  <si>
    <t>Mise en place du projet Java (structure packages, libs JXInput/Phidget).</t>
  </si>
  <si>
    <t>Implémentation lecture manette : axes + boutons + deadzone + affichage console.</t>
  </si>
  <si>
    <t>Tests manette sur PC + ajustements (poll loop, stabilité).</t>
  </si>
  <si>
    <t>Daily Scrum (avec l’équipe).</t>
  </si>
  <si>
    <t>Début intégration manette → rover (boucle téléop, modes vitesse).</t>
  </si>
  <si>
    <t>Daily Scrum (avancement + points bloquants).</t>
  </si>
  <si>
    <t>Finalisation du module manette (JXInput) : lecture sticks/boutons, deadzone, batterie (XInput 1.4) et vibrations.</t>
  </si>
  <si>
    <t>Reprise &amp; fusion du code rover (base Cyril/Romain) + adaptation connexion Phidget + mapping manette → moteurs.</t>
  </si>
  <si>
    <t>Implémentation et test de l’arrêt d’urgence sur B (E‑STOP) + reset.</t>
  </si>
  <si>
    <t>Vibrations d’alerte : batterie faible + perte de liaison rover (commentaire prêt pour choc plus tard).</t>
  </si>
  <si>
    <t>Total général &gt;</t>
  </si>
  <si>
    <t>Insérer les lignes au-dessus de celle-ci !</t>
  </si>
  <si>
    <t>Congé</t>
  </si>
  <si>
    <t>J’ai aidé à clarifier le périmètre et à poser des bases propres (use case + backlog). J’ai trouvé l’ambiance motivante et tout le monde était impliqué. Prochaine étape pour moi : commencer concrètement le dev manette/rover et préparer la validation du planning avec le client.</t>
  </si>
  <si>
    <t>Aujourd’hui, j’ai surtout travaillé sur la cohérence des documents pour qu’ils soient vraiment “présentables” et faciles à valider. J’ai aimé le fait qu’on soit tous alignés sur les livrables et qu’on avance sans perdre de temps. Prochaine étape : attaquer l’implémentation technique (lecture manette + connexion rover) et avoir un premier test simple qui tourne.</t>
  </si>
  <si>
    <t>J’ai consolidé tout ce qui touche à la gestion de projet (planning, use case, cahier des charges) et j’ai commencé à basculer sur l’intégration technique. J’ai trouvé que l’équipe bossait sérieusement et qu’on communiquait bien, ce qui m’a aidé à avancer plus vite. Prochaine étape : réussir à faire tourner les moteurs et les liers avec la manette.</t>
  </si>
  <si>
    <t>J’ai terminé la partie manette pour qu’elle soit stable, puis j’ai repris le début de ce que Cyril et Romain avaient fait pour fusionner les modules et que tout fonctionne ensemble. Au final, je suis content du résultat : la manette pilote bien le rover (moteurs Phidget), avec l’E-STOP sur B et les vibrations d’alerte (batterie faible / perte de liaison). Franchement j’ai bien aimé l’ambiance, je trouve qu’on a tous bien bossé et qu’on commence à avoir un vrai système qui ressemble à quelque chose.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</si>
</sst>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
  </numFmts>
  <fonts count="8" x14ac:knownFonts="1">
    <font>
      <sz val="10"/>
      <name val="Arial"/>
    </font>
    <font>
      <b/>
      <sz val="10"/>
      <name val="Arial"/>
      <family val="2"/>
    </font>
    <font>
      <sz val="10"/>
      <color rgb="FFFF0000"/>
      <name val="Arial"/>
      <family val="2"/>
    </font>
    <font>
      <sz val="8"/>
      <name val="Arial"/>
      <family val="2"/>
    </font>
    <font>
      <sz val="14"/>
      <name val="Arial"/>
      <family val="2"/>
    </font>
    <font>
      <b/>
      <sz val="16"/>
      <name val="Arial"/>
      <family val="2"/>
    </font>
    <font>
      <sz val="9"/>
      <name val="Arial"/>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style="thin">
        <color indexed="64"/>
      </left>
      <right/>
      <top style="thin">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40">
    <xf numFmtId="0" fontId="0" fillId="0" borderId="0" xfId="0"/>
    <xf numFmtId="0" fontId="0" fillId="0" borderId="0" xfId="0" applyProtection="1">
      <protection locked="0"/>
    </xf>
    <xf numFmtId="0" fontId="3" fillId="3" borderId="9" xfId="0" applyFont="1" applyFill="1" applyBorder="1" applyAlignment="1" applyProtection="1">
      <alignment horizontal="left" vertical="center"/>
      <protection locked="0"/>
    </xf>
    <xf numFmtId="0" fontId="3" fillId="3" borderId="13" xfId="0" applyFont="1" applyFill="1" applyBorder="1" applyAlignment="1" applyProtection="1">
      <alignment horizontal="right" vertical="center"/>
      <protection locked="0"/>
    </xf>
    <xf numFmtId="0" fontId="4"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6" fillId="0" borderId="4" xfId="0" applyFont="1" applyBorder="1" applyAlignment="1" applyProtection="1">
      <alignment horizontal="center"/>
      <protection locked="0"/>
    </xf>
    <xf numFmtId="164" fontId="3" fillId="0" borderId="7" xfId="0" applyNumberFormat="1" applyFont="1" applyBorder="1" applyAlignment="1" applyProtection="1">
      <alignment horizontal="center" vertical="center"/>
      <protection locked="0"/>
    </xf>
    <xf numFmtId="164" fontId="3" fillId="0" borderId="5" xfId="0" applyNumberFormat="1" applyFont="1" applyBorder="1" applyAlignment="1" applyProtection="1">
      <alignment horizontal="center" vertical="center"/>
      <protection locked="0"/>
    </xf>
    <xf numFmtId="164" fontId="3" fillId="0" borderId="1" xfId="0" applyNumberFormat="1" applyFont="1" applyBorder="1" applyAlignment="1" applyProtection="1">
      <alignment horizontal="center" vertical="center"/>
      <protection locked="0"/>
    </xf>
    <xf numFmtId="0" fontId="3" fillId="0" borderId="0" xfId="0" applyFont="1" applyAlignment="1" applyProtection="1">
      <alignment horizontal="left" vertical="top" wrapText="1"/>
      <protection locked="0"/>
    </xf>
    <xf numFmtId="165" fontId="0" fillId="0" borderId="0" xfId="0" applyNumberFormat="1" applyAlignment="1" applyProtection="1">
      <alignment horizontal="center" vertical="center"/>
      <protection locked="0"/>
    </xf>
    <xf numFmtId="164" fontId="7" fillId="0" borderId="1" xfId="0" applyNumberFormat="1" applyFont="1" applyBorder="1" applyAlignment="1" applyProtection="1">
      <alignment horizontal="center" vertical="center"/>
      <protection locked="0"/>
    </xf>
    <xf numFmtId="0" fontId="3" fillId="0" borderId="5" xfId="0" applyFont="1" applyBorder="1" applyAlignment="1" applyProtection="1">
      <alignment vertical="top" wrapText="1"/>
      <protection locked="0"/>
    </xf>
    <xf numFmtId="0" fontId="0" fillId="0" borderId="6" xfId="0" applyBorder="1" applyProtection="1">
      <protection locked="0"/>
    </xf>
    <xf numFmtId="0" fontId="3" fillId="0" borderId="5" xfId="0" applyFont="1" applyBorder="1" applyAlignment="1" applyProtection="1">
      <alignment horizontal="left" vertical="center"/>
      <protection locked="0"/>
    </xf>
    <xf numFmtId="165" fontId="0" fillId="0" borderId="7" xfId="0" applyNumberFormat="1" applyBorder="1" applyAlignment="1" applyProtection="1">
      <alignment horizontal="center" vertical="center"/>
      <protection locked="0"/>
    </xf>
    <xf numFmtId="0" fontId="0" fillId="0" borderId="5" xfId="0" applyBorder="1" applyProtection="1">
      <protection locked="0"/>
    </xf>
    <xf numFmtId="0" fontId="3" fillId="0" borderId="7" xfId="0" applyFont="1" applyBorder="1" applyAlignment="1" applyProtection="1">
      <alignment vertical="top" wrapText="1"/>
      <protection locked="0"/>
    </xf>
    <xf numFmtId="0" fontId="0" fillId="0" borderId="13" xfId="0" applyBorder="1" applyProtection="1">
      <protection locked="0"/>
    </xf>
    <xf numFmtId="0" fontId="3" fillId="0" borderId="7" xfId="0" applyFont="1" applyBorder="1" applyAlignment="1" applyProtection="1">
      <alignment horizontal="left" vertical="center"/>
      <protection locked="0"/>
    </xf>
    <xf numFmtId="0" fontId="3" fillId="0" borderId="2" xfId="0" applyFont="1" applyBorder="1" applyAlignment="1" applyProtection="1">
      <alignment horizontal="left" vertical="top" wrapText="1"/>
      <protection locked="0"/>
    </xf>
    <xf numFmtId="0" fontId="0" fillId="0" borderId="14" xfId="0" applyBorder="1" applyProtection="1">
      <protection locked="0"/>
    </xf>
    <xf numFmtId="0" fontId="0" fillId="0" borderId="12" xfId="0" applyBorder="1" applyProtection="1">
      <protection locked="0"/>
    </xf>
    <xf numFmtId="165" fontId="0" fillId="0" borderId="1" xfId="0" applyNumberFormat="1" applyBorder="1" applyAlignment="1" applyProtection="1">
      <alignment horizontal="center" vertical="center"/>
      <protection locked="0"/>
    </xf>
    <xf numFmtId="0" fontId="0" fillId="0" borderId="2" xfId="0" applyBorder="1" applyProtection="1">
      <protection locked="0"/>
    </xf>
    <xf numFmtId="0" fontId="0" fillId="0" borderId="0" xfId="0" applyProtection="1">
      <protection locked="0"/>
    </xf>
    <xf numFmtId="0" fontId="3" fillId="0" borderId="5" xfId="0" applyFont="1" applyBorder="1" applyAlignment="1" applyProtection="1">
      <alignment horizontal="left" vertical="top" wrapText="1"/>
      <protection locked="0"/>
    </xf>
    <xf numFmtId="0" fontId="1" fillId="0" borderId="16" xfId="0" applyFont="1" applyBorder="1" applyAlignment="1" applyProtection="1">
      <alignment horizontal="left" vertical="center"/>
      <protection locked="0"/>
    </xf>
    <xf numFmtId="0" fontId="0" fillId="0" borderId="8" xfId="0" applyBorder="1" applyProtection="1">
      <protection locked="0"/>
    </xf>
    <xf numFmtId="0" fontId="0" fillId="0" borderId="11" xfId="0" applyBorder="1" applyProtection="1">
      <protection locked="0"/>
    </xf>
    <xf numFmtId="0" fontId="3" fillId="0" borderId="3" xfId="0" applyFont="1" applyBorder="1" applyAlignment="1" applyProtection="1">
      <alignment vertical="top" wrapText="1"/>
      <protection locked="0"/>
    </xf>
    <xf numFmtId="0" fontId="0" fillId="0" borderId="10" xfId="0" applyBorder="1" applyProtection="1">
      <protection locked="0"/>
    </xf>
    <xf numFmtId="0" fontId="4" fillId="0" borderId="6" xfId="0" applyFont="1" applyBorder="1" applyAlignment="1" applyProtection="1">
      <alignment horizontal="left"/>
      <protection locked="0"/>
    </xf>
    <xf numFmtId="0" fontId="5" fillId="0" borderId="0" xfId="0" applyFont="1" applyAlignment="1" applyProtection="1">
      <alignment horizontal="left"/>
      <protection locked="0"/>
    </xf>
    <xf numFmtId="0" fontId="1" fillId="0" borderId="15" xfId="0" applyFont="1" applyBorder="1" applyAlignment="1" applyProtection="1">
      <alignment horizontal="left" vertical="center"/>
      <protection locked="0"/>
    </xf>
    <xf numFmtId="0" fontId="3" fillId="0" borderId="2" xfId="0" applyFont="1" applyBorder="1" applyAlignment="1" applyProtection="1">
      <alignment vertical="top" wrapText="1"/>
      <protection locked="0"/>
    </xf>
    <xf numFmtId="0" fontId="2" fillId="2" borderId="0" xfId="0" applyFont="1" applyFill="1" applyAlignment="1" applyProtection="1">
      <alignment horizontal="center"/>
      <protection locked="0"/>
    </xf>
    <xf numFmtId="165" fontId="0" fillId="0" borderId="3" xfId="0" applyNumberFormat="1" applyBorder="1" applyAlignment="1" applyProtection="1">
      <alignment horizontal="center" vertical="center"/>
      <protection locked="0"/>
    </xf>
    <xf numFmtId="165" fontId="0" fillId="0" borderId="5" xfId="0" applyNumberFormat="1" applyBorder="1" applyAlignment="1" applyProtection="1">
      <alignment horizontal="center" vertical="center"/>
      <protection locked="0"/>
    </xf>
  </cellXfs>
  <cellStyles count="1">
    <cellStyle name="Normal" xfId="0" builtinId="0"/>
  </cellStyles>
  <dxfs count="22">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
  <sheetViews>
    <sheetView tabSelected="1" zoomScale="115" zoomScaleNormal="115" zoomScaleSheetLayoutView="115" workbookViewId="0">
      <pane ySplit="1" topLeftCell="A22" activePane="bottomLeft"/>
      <selection activeCell="A5" sqref="A5:XFD5"/>
      <selection pane="bottomLeft" activeCell="E41" sqref="E41"/>
    </sheetView>
  </sheetViews>
  <sheetFormatPr baseColWidth="10" defaultColWidth="11.5703125" defaultRowHeight="12.75" x14ac:dyDescent="0.2"/>
  <cols>
    <col min="1" max="1" width="11.5703125" style="1" customWidth="1"/>
    <col min="2" max="3" width="31.7109375" style="1" customWidth="1"/>
    <col min="4" max="4" width="15.7109375" style="1" customWidth="1"/>
    <col min="5" max="217" width="9.140625" style="1" customWidth="1"/>
    <col min="218" max="218" width="11.5703125" style="1" customWidth="1"/>
    <col min="219" max="16384" width="11.5703125" style="1"/>
  </cols>
  <sheetData>
    <row r="1" spans="1:4" ht="20.25" customHeight="1" x14ac:dyDescent="0.3">
      <c r="A1" s="34" t="s">
        <v>0</v>
      </c>
      <c r="B1" s="26"/>
      <c r="C1" s="26"/>
      <c r="D1" s="26"/>
    </row>
    <row r="2" spans="1:4" ht="18" customHeight="1" x14ac:dyDescent="0.25">
      <c r="A2" s="33" t="s">
        <v>1</v>
      </c>
      <c r="B2" s="26"/>
      <c r="C2" s="14"/>
      <c r="D2" s="4">
        <v>1</v>
      </c>
    </row>
    <row r="4" spans="1:4" ht="12" customHeight="1" x14ac:dyDescent="0.2">
      <c r="A4" s="35" t="s">
        <v>2</v>
      </c>
      <c r="B4" s="28" t="s">
        <v>3</v>
      </c>
      <c r="C4" s="19"/>
      <c r="D4" s="5" t="s">
        <v>4</v>
      </c>
    </row>
    <row r="5" spans="1:4" ht="13.5" customHeight="1" thickBot="1" x14ac:dyDescent="0.25">
      <c r="A5" s="29"/>
      <c r="B5" s="29"/>
      <c r="C5" s="30"/>
      <c r="D5" s="6" t="s">
        <v>5</v>
      </c>
    </row>
    <row r="6" spans="1:4" ht="12.75" customHeight="1" x14ac:dyDescent="0.2">
      <c r="A6" s="38">
        <v>45992</v>
      </c>
      <c r="B6" s="31" t="s">
        <v>6</v>
      </c>
      <c r="C6" s="32"/>
      <c r="D6" s="7">
        <v>0.5</v>
      </c>
    </row>
    <row r="7" spans="1:4" x14ac:dyDescent="0.2">
      <c r="A7" s="17"/>
      <c r="B7" s="13" t="s">
        <v>7</v>
      </c>
      <c r="C7" s="14"/>
      <c r="D7" s="8">
        <v>2</v>
      </c>
    </row>
    <row r="8" spans="1:4" x14ac:dyDescent="0.2">
      <c r="A8" s="17"/>
      <c r="B8" s="13" t="s">
        <v>8</v>
      </c>
      <c r="C8" s="14"/>
      <c r="D8" s="8">
        <v>2</v>
      </c>
    </row>
    <row r="9" spans="1:4" x14ac:dyDescent="0.2">
      <c r="A9" s="17"/>
      <c r="B9" s="13" t="s">
        <v>9</v>
      </c>
      <c r="C9" s="14"/>
      <c r="D9" s="8">
        <v>2.5</v>
      </c>
    </row>
    <row r="10" spans="1:4" x14ac:dyDescent="0.2">
      <c r="A10" s="17"/>
      <c r="B10" s="15"/>
      <c r="C10" s="14"/>
      <c r="D10" s="8"/>
    </row>
    <row r="11" spans="1:4" x14ac:dyDescent="0.2">
      <c r="A11" s="17"/>
      <c r="B11" s="2" t="s">
        <v>10</v>
      </c>
      <c r="C11" s="3" t="s">
        <v>11</v>
      </c>
      <c r="D11" s="9">
        <f>SUM(D6:D10)</f>
        <v>7</v>
      </c>
    </row>
    <row r="12" spans="1:4" ht="24.95" customHeight="1" x14ac:dyDescent="0.2">
      <c r="A12" s="17"/>
      <c r="B12" s="13" t="s">
        <v>29</v>
      </c>
      <c r="C12" s="26"/>
      <c r="D12" s="14"/>
    </row>
    <row r="13" spans="1:4" ht="12.75" customHeight="1" x14ac:dyDescent="0.2">
      <c r="A13" s="16">
        <v>45993</v>
      </c>
      <c r="B13" s="18" t="s">
        <v>12</v>
      </c>
      <c r="C13" s="19"/>
      <c r="D13" s="7">
        <v>0.5</v>
      </c>
    </row>
    <row r="14" spans="1:4" x14ac:dyDescent="0.2">
      <c r="A14" s="17"/>
      <c r="B14" s="13" t="s">
        <v>13</v>
      </c>
      <c r="C14" s="14"/>
      <c r="D14" s="8">
        <v>1.5</v>
      </c>
    </row>
    <row r="15" spans="1:4" x14ac:dyDescent="0.2">
      <c r="A15" s="17"/>
      <c r="B15" s="13" t="s">
        <v>14</v>
      </c>
      <c r="C15" s="14"/>
      <c r="D15" s="8">
        <v>1</v>
      </c>
    </row>
    <row r="16" spans="1:4" x14ac:dyDescent="0.2">
      <c r="A16" s="17"/>
      <c r="B16" s="13" t="s">
        <v>15</v>
      </c>
      <c r="C16" s="14"/>
      <c r="D16" s="8">
        <v>0.5</v>
      </c>
    </row>
    <row r="17" spans="1:4" x14ac:dyDescent="0.2">
      <c r="A17" s="17"/>
      <c r="B17" s="15"/>
      <c r="C17" s="14"/>
      <c r="D17" s="8"/>
    </row>
    <row r="18" spans="1:4" x14ac:dyDescent="0.2">
      <c r="A18" s="17"/>
      <c r="B18" s="2" t="s">
        <v>10</v>
      </c>
      <c r="C18" s="3" t="s">
        <v>11</v>
      </c>
      <c r="D18" s="9">
        <f>SUM(D13:D17)</f>
        <v>3.5</v>
      </c>
    </row>
    <row r="19" spans="1:4" ht="24.95" customHeight="1" x14ac:dyDescent="0.2">
      <c r="A19" s="17"/>
      <c r="B19" s="13" t="s">
        <v>30</v>
      </c>
      <c r="C19" s="26"/>
      <c r="D19" s="14"/>
    </row>
    <row r="20" spans="1:4" ht="12.75" customHeight="1" x14ac:dyDescent="0.2">
      <c r="A20" s="16">
        <v>45999</v>
      </c>
      <c r="B20" s="18" t="s">
        <v>28</v>
      </c>
      <c r="C20" s="19"/>
      <c r="D20" s="7"/>
    </row>
    <row r="21" spans="1:4" x14ac:dyDescent="0.2">
      <c r="A21" s="17"/>
      <c r="D21" s="8"/>
    </row>
    <row r="22" spans="1:4" x14ac:dyDescent="0.2">
      <c r="A22" s="17"/>
      <c r="D22" s="8"/>
    </row>
    <row r="23" spans="1:4" x14ac:dyDescent="0.2">
      <c r="A23" s="17"/>
      <c r="D23" s="8"/>
    </row>
    <row r="24" spans="1:4" x14ac:dyDescent="0.2">
      <c r="A24" s="17"/>
      <c r="B24" s="13"/>
      <c r="C24" s="14"/>
      <c r="D24" s="8"/>
    </row>
    <row r="25" spans="1:4" x14ac:dyDescent="0.2">
      <c r="A25" s="17"/>
      <c r="B25" s="2" t="s">
        <v>10</v>
      </c>
      <c r="C25" s="3" t="s">
        <v>11</v>
      </c>
      <c r="D25" s="9">
        <f>SUM(D20:D24)</f>
        <v>0</v>
      </c>
    </row>
    <row r="26" spans="1:4" ht="24.95" customHeight="1" x14ac:dyDescent="0.2">
      <c r="A26" s="17"/>
      <c r="B26" s="13"/>
      <c r="C26" s="26"/>
      <c r="D26" s="14"/>
    </row>
    <row r="27" spans="1:4" ht="12.75" customHeight="1" x14ac:dyDescent="0.2">
      <c r="A27" s="24">
        <v>46000</v>
      </c>
      <c r="B27" s="18" t="s">
        <v>19</v>
      </c>
      <c r="C27" s="19"/>
      <c r="D27" s="7">
        <v>0.5</v>
      </c>
    </row>
    <row r="28" spans="1:4" ht="12.75" customHeight="1" x14ac:dyDescent="0.2">
      <c r="A28" s="39"/>
      <c r="B28" s="13" t="s">
        <v>16</v>
      </c>
      <c r="C28" s="14"/>
      <c r="D28" s="8">
        <v>1</v>
      </c>
    </row>
    <row r="29" spans="1:4" ht="12.75" customHeight="1" x14ac:dyDescent="0.2">
      <c r="A29" s="39"/>
      <c r="B29" s="13" t="s">
        <v>17</v>
      </c>
      <c r="C29" s="14"/>
      <c r="D29" s="8">
        <v>0.5</v>
      </c>
    </row>
    <row r="30" spans="1:4" ht="12.75" customHeight="1" x14ac:dyDescent="0.2">
      <c r="A30" s="39"/>
      <c r="B30" s="13" t="s">
        <v>18</v>
      </c>
      <c r="C30" s="14"/>
      <c r="D30" s="8">
        <v>0.5</v>
      </c>
    </row>
    <row r="31" spans="1:4" x14ac:dyDescent="0.2">
      <c r="A31" s="17"/>
      <c r="B31" s="13" t="s">
        <v>20</v>
      </c>
      <c r="C31" s="14"/>
      <c r="D31" s="8">
        <v>1</v>
      </c>
    </row>
    <row r="32" spans="1:4" x14ac:dyDescent="0.2">
      <c r="A32" s="17"/>
      <c r="B32" s="15"/>
      <c r="C32" s="14"/>
      <c r="D32" s="8"/>
    </row>
    <row r="33" spans="1:4" x14ac:dyDescent="0.2">
      <c r="A33" s="17"/>
      <c r="B33" s="2" t="s">
        <v>10</v>
      </c>
      <c r="C33" s="3" t="s">
        <v>11</v>
      </c>
      <c r="D33" s="9">
        <f>SUM(D27:D32)</f>
        <v>3.5</v>
      </c>
    </row>
    <row r="34" spans="1:4" ht="24.95" customHeight="1" x14ac:dyDescent="0.2">
      <c r="A34" s="25"/>
      <c r="B34" s="36" t="s">
        <v>31</v>
      </c>
      <c r="C34" s="22"/>
      <c r="D34" s="23"/>
    </row>
    <row r="35" spans="1:4" ht="12.75" customHeight="1" x14ac:dyDescent="0.2">
      <c r="A35" s="24">
        <v>46006</v>
      </c>
      <c r="B35" s="18" t="s">
        <v>21</v>
      </c>
      <c r="C35" s="19"/>
      <c r="D35" s="7">
        <v>0.5</v>
      </c>
    </row>
    <row r="36" spans="1:4" x14ac:dyDescent="0.2">
      <c r="A36" s="17"/>
      <c r="B36" s="13" t="s">
        <v>22</v>
      </c>
      <c r="C36" s="14"/>
      <c r="D36" s="8">
        <v>2</v>
      </c>
    </row>
    <row r="37" spans="1:4" x14ac:dyDescent="0.2">
      <c r="A37" s="17"/>
      <c r="B37" s="13" t="s">
        <v>23</v>
      </c>
      <c r="C37" s="14"/>
      <c r="D37" s="8">
        <v>2.5</v>
      </c>
    </row>
    <row r="38" spans="1:4" x14ac:dyDescent="0.2">
      <c r="A38" s="17"/>
      <c r="B38" s="13" t="s">
        <v>24</v>
      </c>
      <c r="C38" s="14"/>
      <c r="D38" s="8">
        <v>1.5</v>
      </c>
    </row>
    <row r="39" spans="1:4" x14ac:dyDescent="0.2">
      <c r="A39" s="17"/>
      <c r="B39" s="13" t="s">
        <v>25</v>
      </c>
      <c r="C39" s="14"/>
      <c r="D39" s="8">
        <v>1.5</v>
      </c>
    </row>
    <row r="40" spans="1:4" x14ac:dyDescent="0.2">
      <c r="A40" s="17"/>
      <c r="B40" s="2" t="s">
        <v>10</v>
      </c>
      <c r="C40" s="3" t="s">
        <v>11</v>
      </c>
      <c r="D40" s="9">
        <f>SUM(D35:D39)</f>
        <v>8</v>
      </c>
    </row>
    <row r="41" spans="1:4" ht="24.95" customHeight="1" x14ac:dyDescent="0.2">
      <c r="A41" s="25"/>
      <c r="B41" s="36" t="s">
        <v>32</v>
      </c>
      <c r="C41" s="22"/>
      <c r="D41" s="23"/>
    </row>
    <row r="42" spans="1:4" ht="12.75" customHeight="1" x14ac:dyDescent="0.2">
      <c r="A42" s="24"/>
      <c r="B42" s="20"/>
      <c r="C42" s="19"/>
      <c r="D42" s="7"/>
    </row>
    <row r="43" spans="1:4" x14ac:dyDescent="0.2">
      <c r="A43" s="17"/>
      <c r="B43" s="15"/>
      <c r="C43" s="14"/>
      <c r="D43" s="8"/>
    </row>
    <row r="44" spans="1:4" x14ac:dyDescent="0.2">
      <c r="A44" s="17"/>
      <c r="B44" s="15"/>
      <c r="C44" s="14"/>
      <c r="D44" s="8"/>
    </row>
    <row r="45" spans="1:4" x14ac:dyDescent="0.2">
      <c r="A45" s="17"/>
      <c r="B45" s="15"/>
      <c r="C45" s="14"/>
      <c r="D45" s="8"/>
    </row>
    <row r="46" spans="1:4" x14ac:dyDescent="0.2">
      <c r="A46" s="17"/>
      <c r="B46" s="15"/>
      <c r="C46" s="14"/>
      <c r="D46" s="8"/>
    </row>
    <row r="47" spans="1:4" x14ac:dyDescent="0.2">
      <c r="A47" s="17"/>
      <c r="B47" s="2" t="s">
        <v>10</v>
      </c>
      <c r="C47" s="3" t="s">
        <v>11</v>
      </c>
      <c r="D47" s="9">
        <f>SUM(D42:D46)</f>
        <v>0</v>
      </c>
    </row>
    <row r="48" spans="1:4" ht="24.95" customHeight="1" x14ac:dyDescent="0.2">
      <c r="A48" s="25"/>
      <c r="B48" s="21"/>
      <c r="C48" s="22"/>
      <c r="D48" s="23"/>
    </row>
    <row r="49" spans="1:4" ht="12.75" customHeight="1" x14ac:dyDescent="0.2">
      <c r="A49" s="24"/>
      <c r="B49" s="20"/>
      <c r="C49" s="19"/>
      <c r="D49" s="7"/>
    </row>
    <row r="50" spans="1:4" x14ac:dyDescent="0.2">
      <c r="A50" s="17"/>
      <c r="B50" s="15"/>
      <c r="C50" s="14"/>
      <c r="D50" s="8"/>
    </row>
    <row r="51" spans="1:4" x14ac:dyDescent="0.2">
      <c r="A51" s="17"/>
      <c r="B51" s="15"/>
      <c r="C51" s="14"/>
      <c r="D51" s="8"/>
    </row>
    <row r="52" spans="1:4" x14ac:dyDescent="0.2">
      <c r="A52" s="17"/>
      <c r="B52" s="15"/>
      <c r="C52" s="14"/>
      <c r="D52" s="8"/>
    </row>
    <row r="53" spans="1:4" x14ac:dyDescent="0.2">
      <c r="A53" s="17"/>
      <c r="B53" s="15"/>
      <c r="C53" s="14"/>
      <c r="D53" s="8"/>
    </row>
    <row r="54" spans="1:4" x14ac:dyDescent="0.2">
      <c r="A54" s="17"/>
      <c r="B54" s="2" t="s">
        <v>10</v>
      </c>
      <c r="C54" s="3" t="s">
        <v>11</v>
      </c>
      <c r="D54" s="9">
        <f>SUM(D49:D53)</f>
        <v>0</v>
      </c>
    </row>
    <row r="55" spans="1:4" ht="24.95" customHeight="1" x14ac:dyDescent="0.2">
      <c r="A55" s="25"/>
      <c r="B55" s="21"/>
      <c r="C55" s="22"/>
      <c r="D55" s="23"/>
    </row>
    <row r="56" spans="1:4" ht="12.75" customHeight="1" x14ac:dyDescent="0.2">
      <c r="A56" s="24"/>
      <c r="B56" s="20"/>
      <c r="C56" s="19"/>
      <c r="D56" s="7"/>
    </row>
    <row r="57" spans="1:4" x14ac:dyDescent="0.2">
      <c r="A57" s="17"/>
      <c r="B57" s="15"/>
      <c r="C57" s="14"/>
      <c r="D57" s="8"/>
    </row>
    <row r="58" spans="1:4" x14ac:dyDescent="0.2">
      <c r="A58" s="17"/>
      <c r="B58" s="15"/>
      <c r="C58" s="14"/>
      <c r="D58" s="8"/>
    </row>
    <row r="59" spans="1:4" x14ac:dyDescent="0.2">
      <c r="A59" s="17"/>
      <c r="B59" s="15"/>
      <c r="C59" s="14"/>
      <c r="D59" s="8"/>
    </row>
    <row r="60" spans="1:4" x14ac:dyDescent="0.2">
      <c r="A60" s="17"/>
      <c r="B60" s="15"/>
      <c r="C60" s="14"/>
      <c r="D60" s="8"/>
    </row>
    <row r="61" spans="1:4" x14ac:dyDescent="0.2">
      <c r="A61" s="17"/>
      <c r="B61" s="2" t="s">
        <v>10</v>
      </c>
      <c r="C61" s="3" t="s">
        <v>11</v>
      </c>
      <c r="D61" s="9">
        <f>SUM(D56:D60)</f>
        <v>0</v>
      </c>
    </row>
    <row r="62" spans="1:4" ht="24.95" customHeight="1" x14ac:dyDescent="0.2">
      <c r="A62" s="25"/>
      <c r="B62" s="21"/>
      <c r="C62" s="22"/>
      <c r="D62" s="23"/>
    </row>
    <row r="63" spans="1:4" ht="12.75" customHeight="1" x14ac:dyDescent="0.2">
      <c r="A63" s="16"/>
      <c r="B63" s="20"/>
      <c r="C63" s="19"/>
      <c r="D63" s="7"/>
    </row>
    <row r="64" spans="1:4" x14ac:dyDescent="0.2">
      <c r="A64" s="17"/>
      <c r="B64" s="15"/>
      <c r="C64" s="14"/>
      <c r="D64" s="8"/>
    </row>
    <row r="65" spans="1:4" x14ac:dyDescent="0.2">
      <c r="A65" s="17"/>
      <c r="B65" s="15"/>
      <c r="C65" s="14"/>
      <c r="D65" s="8"/>
    </row>
    <row r="66" spans="1:4" x14ac:dyDescent="0.2">
      <c r="A66" s="17"/>
      <c r="B66" s="15"/>
      <c r="C66" s="14"/>
      <c r="D66" s="8"/>
    </row>
    <row r="67" spans="1:4" x14ac:dyDescent="0.2">
      <c r="A67" s="17"/>
      <c r="B67" s="15"/>
      <c r="C67" s="14"/>
      <c r="D67" s="8"/>
    </row>
    <row r="68" spans="1:4" x14ac:dyDescent="0.2">
      <c r="A68" s="17"/>
      <c r="B68" s="2" t="s">
        <v>10</v>
      </c>
      <c r="C68" s="3" t="s">
        <v>11</v>
      </c>
      <c r="D68" s="9">
        <f>SUM(D63:D67)</f>
        <v>0</v>
      </c>
    </row>
    <row r="69" spans="1:4" ht="24.95" customHeight="1" x14ac:dyDescent="0.2">
      <c r="A69" s="17"/>
      <c r="B69" s="27"/>
      <c r="C69" s="26"/>
      <c r="D69" s="14"/>
    </row>
    <row r="70" spans="1:4" ht="12.75" customHeight="1" x14ac:dyDescent="0.2">
      <c r="A70" s="24"/>
      <c r="B70" s="20"/>
      <c r="C70" s="19"/>
      <c r="D70" s="7"/>
    </row>
    <row r="71" spans="1:4" x14ac:dyDescent="0.2">
      <c r="A71" s="17"/>
      <c r="B71" s="15"/>
      <c r="C71" s="14"/>
      <c r="D71" s="8"/>
    </row>
    <row r="72" spans="1:4" x14ac:dyDescent="0.2">
      <c r="A72" s="17"/>
      <c r="B72" s="15"/>
      <c r="C72" s="14"/>
      <c r="D72" s="8"/>
    </row>
    <row r="73" spans="1:4" x14ac:dyDescent="0.2">
      <c r="A73" s="17"/>
      <c r="B73" s="15"/>
      <c r="C73" s="14"/>
      <c r="D73" s="8"/>
    </row>
    <row r="74" spans="1:4" x14ac:dyDescent="0.2">
      <c r="A74" s="17"/>
      <c r="B74" s="15"/>
      <c r="C74" s="14"/>
      <c r="D74" s="8"/>
    </row>
    <row r="75" spans="1:4" x14ac:dyDescent="0.2">
      <c r="A75" s="17"/>
      <c r="B75" s="2" t="s">
        <v>10</v>
      </c>
      <c r="C75" s="3" t="s">
        <v>11</v>
      </c>
      <c r="D75" s="9">
        <f>SUM(D70:D74)</f>
        <v>0</v>
      </c>
    </row>
    <row r="76" spans="1:4" ht="24.95" customHeight="1" x14ac:dyDescent="0.2">
      <c r="A76" s="25"/>
      <c r="B76" s="21"/>
      <c r="C76" s="22"/>
      <c r="D76" s="23"/>
    </row>
    <row r="77" spans="1:4" ht="12.75" customHeight="1" x14ac:dyDescent="0.2">
      <c r="A77" s="24"/>
      <c r="B77" s="20"/>
      <c r="C77" s="19"/>
      <c r="D77" s="7"/>
    </row>
    <row r="78" spans="1:4" x14ac:dyDescent="0.2">
      <c r="A78" s="17"/>
      <c r="B78" s="15"/>
      <c r="C78" s="14"/>
      <c r="D78" s="8"/>
    </row>
    <row r="79" spans="1:4" x14ac:dyDescent="0.2">
      <c r="A79" s="17"/>
      <c r="B79" s="15"/>
      <c r="C79" s="14"/>
      <c r="D79" s="8"/>
    </row>
    <row r="80" spans="1:4" x14ac:dyDescent="0.2">
      <c r="A80" s="17"/>
      <c r="B80" s="15"/>
      <c r="C80" s="14"/>
      <c r="D80" s="8"/>
    </row>
    <row r="81" spans="1:4" x14ac:dyDescent="0.2">
      <c r="A81" s="17"/>
      <c r="B81" s="15"/>
      <c r="C81" s="14"/>
      <c r="D81" s="8"/>
    </row>
    <row r="82" spans="1:4" x14ac:dyDescent="0.2">
      <c r="A82" s="17"/>
      <c r="B82" s="2" t="s">
        <v>10</v>
      </c>
      <c r="C82" s="3" t="s">
        <v>11</v>
      </c>
      <c r="D82" s="9">
        <f>SUM(D77:D81)</f>
        <v>0</v>
      </c>
    </row>
    <row r="83" spans="1:4" ht="24.95" customHeight="1" x14ac:dyDescent="0.2">
      <c r="A83" s="25"/>
      <c r="B83" s="21"/>
      <c r="C83" s="22"/>
      <c r="D83" s="23"/>
    </row>
    <row r="84" spans="1:4" ht="12" customHeight="1" x14ac:dyDescent="0.2">
      <c r="A84" s="11"/>
      <c r="B84" s="10"/>
      <c r="C84" s="3" t="s">
        <v>26</v>
      </c>
      <c r="D84" s="12">
        <f>D11+D18+D25+D33+D40+D47+D54+D61+D68+D75+D82</f>
        <v>22</v>
      </c>
    </row>
    <row r="85" spans="1:4" x14ac:dyDescent="0.2">
      <c r="A85" s="37" t="s">
        <v>27</v>
      </c>
      <c r="B85" s="26"/>
      <c r="C85" s="26"/>
      <c r="D85" s="26"/>
    </row>
  </sheetData>
  <mergeCells count="80">
    <mergeCell ref="A85:D85"/>
    <mergeCell ref="B37:C37"/>
    <mergeCell ref="B51:C51"/>
    <mergeCell ref="A6:A12"/>
    <mergeCell ref="A1:D1"/>
    <mergeCell ref="B45:C45"/>
    <mergeCell ref="A4:A5"/>
    <mergeCell ref="B35:C35"/>
    <mergeCell ref="B9:C9"/>
    <mergeCell ref="B20:C20"/>
    <mergeCell ref="B12:D12"/>
    <mergeCell ref="B30:C30"/>
    <mergeCell ref="B41:D41"/>
    <mergeCell ref="B8:C8"/>
    <mergeCell ref="B34:D34"/>
    <mergeCell ref="B10:C10"/>
    <mergeCell ref="B26:D26"/>
    <mergeCell ref="A2:C2"/>
    <mergeCell ref="B44:C44"/>
    <mergeCell ref="B59:C59"/>
    <mergeCell ref="B53:C53"/>
    <mergeCell ref="B43:C43"/>
    <mergeCell ref="B17:C17"/>
    <mergeCell ref="B58:C58"/>
    <mergeCell ref="A49:A55"/>
    <mergeCell ref="B46:C46"/>
    <mergeCell ref="B49:C49"/>
    <mergeCell ref="B4:C5"/>
    <mergeCell ref="B31:C31"/>
    <mergeCell ref="A35:A41"/>
    <mergeCell ref="B38:C38"/>
    <mergeCell ref="B76:D76"/>
    <mergeCell ref="B48:D48"/>
    <mergeCell ref="B6:C6"/>
    <mergeCell ref="B15:C15"/>
    <mergeCell ref="A27:A34"/>
    <mergeCell ref="B7:C7"/>
    <mergeCell ref="B73:C73"/>
    <mergeCell ref="B57:C57"/>
    <mergeCell ref="B72:C72"/>
    <mergeCell ref="B63:C63"/>
    <mergeCell ref="B62:D62"/>
    <mergeCell ref="B60:C60"/>
    <mergeCell ref="B83:D83"/>
    <mergeCell ref="B27:C27"/>
    <mergeCell ref="B19:D19"/>
    <mergeCell ref="B69:D69"/>
    <mergeCell ref="A63:A69"/>
    <mergeCell ref="B81:C81"/>
    <mergeCell ref="B80:C80"/>
    <mergeCell ref="B77:C77"/>
    <mergeCell ref="A77:A83"/>
    <mergeCell ref="B71:C71"/>
    <mergeCell ref="B74:C74"/>
    <mergeCell ref="B66:C66"/>
    <mergeCell ref="B79:C79"/>
    <mergeCell ref="B50:C50"/>
    <mergeCell ref="B55:D55"/>
    <mergeCell ref="B56:C56"/>
    <mergeCell ref="B24:C24"/>
    <mergeCell ref="B65:C65"/>
    <mergeCell ref="B52:C52"/>
    <mergeCell ref="B64:C64"/>
    <mergeCell ref="B42:C42"/>
    <mergeCell ref="B36:C36"/>
    <mergeCell ref="B67:C67"/>
    <mergeCell ref="A13:A19"/>
    <mergeCell ref="B14:C14"/>
    <mergeCell ref="B13:C13"/>
    <mergeCell ref="B70:C70"/>
    <mergeCell ref="B39:C39"/>
    <mergeCell ref="A70:A76"/>
    <mergeCell ref="A42:A48"/>
    <mergeCell ref="B16:C16"/>
    <mergeCell ref="A56:A62"/>
    <mergeCell ref="B29:C29"/>
    <mergeCell ref="B32:C32"/>
    <mergeCell ref="A20:A26"/>
    <mergeCell ref="B78:C78"/>
    <mergeCell ref="B28:C28"/>
  </mergeCells>
  <conditionalFormatting sqref="D6:D11 D27:D33">
    <cfRule type="containsText" dxfId="21" priority="23" operator="containsText" text="Terminé">
      <formula>NOT(ISERROR(SEARCH("Terminé",D6)))</formula>
    </cfRule>
    <cfRule type="containsText" dxfId="20" priority="24" operator="containsText" text="En cours">
      <formula>NOT(ISERROR(SEARCH("En cours",D6)))</formula>
    </cfRule>
  </conditionalFormatting>
  <conditionalFormatting sqref="D13:D18">
    <cfRule type="containsText" dxfId="19" priority="21" operator="containsText" text="Terminé">
      <formula>NOT(ISERROR(SEARCH("Terminé",D13)))</formula>
    </cfRule>
    <cfRule type="containsText" dxfId="18" priority="22" operator="containsText" text="En cours">
      <formula>NOT(ISERROR(SEARCH("En cours",D13)))</formula>
    </cfRule>
  </conditionalFormatting>
  <conditionalFormatting sqref="D20:D25">
    <cfRule type="containsText" dxfId="17" priority="3" operator="containsText" text="Terminé">
      <formula>NOT(ISERROR(SEARCH("Terminé",D20)))</formula>
    </cfRule>
    <cfRule type="containsText" dxfId="16" priority="4" operator="containsText" text="En cours">
      <formula>NOT(ISERROR(SEARCH("En cours",D20)))</formula>
    </cfRule>
  </conditionalFormatting>
  <conditionalFormatting sqref="D35:D40">
    <cfRule type="containsText" dxfId="15" priority="17" operator="containsText" text="Terminé">
      <formula>NOT(ISERROR(SEARCH("Terminé",D35)))</formula>
    </cfRule>
    <cfRule type="containsText" dxfId="14" priority="18" operator="containsText" text="En cours">
      <formula>NOT(ISERROR(SEARCH("En cours",D35)))</formula>
    </cfRule>
  </conditionalFormatting>
  <conditionalFormatting sqref="D42:D47">
    <cfRule type="containsText" dxfId="13" priority="9" operator="containsText" text="Terminé">
      <formula>NOT(ISERROR(SEARCH("Terminé",D42)))</formula>
    </cfRule>
    <cfRule type="containsText" dxfId="12" priority="10" operator="containsText" text="En cours">
      <formula>NOT(ISERROR(SEARCH("En cours",D42)))</formula>
    </cfRule>
  </conditionalFormatting>
  <conditionalFormatting sqref="D49:D54">
    <cfRule type="containsText" dxfId="11" priority="7" operator="containsText" text="Terminé">
      <formula>NOT(ISERROR(SEARCH("Terminé",D49)))</formula>
    </cfRule>
    <cfRule type="containsText" dxfId="10" priority="8" operator="containsText" text="En cours">
      <formula>NOT(ISERROR(SEARCH("En cours",D49)))</formula>
    </cfRule>
  </conditionalFormatting>
  <conditionalFormatting sqref="D56:D61">
    <cfRule type="containsText" dxfId="9" priority="5" operator="containsText" text="Terminé">
      <formula>NOT(ISERROR(SEARCH("Terminé",D56)))</formula>
    </cfRule>
    <cfRule type="containsText" dxfId="8" priority="6" operator="containsText" text="En cours">
      <formula>NOT(ISERROR(SEARCH("En cours",D56)))</formula>
    </cfRule>
  </conditionalFormatting>
  <conditionalFormatting sqref="D63:D68">
    <cfRule type="containsText" dxfId="7" priority="15" operator="containsText" text="Terminé">
      <formula>NOT(ISERROR(SEARCH("Terminé",D63)))</formula>
    </cfRule>
    <cfRule type="containsText" dxfId="6" priority="16" operator="containsText" text="En cours">
      <formula>NOT(ISERROR(SEARCH("En cours",D63)))</formula>
    </cfRule>
  </conditionalFormatting>
  <conditionalFormatting sqref="D70:D75">
    <cfRule type="containsText" dxfId="5" priority="13" operator="containsText" text="Terminé">
      <formula>NOT(ISERROR(SEARCH("Terminé",D70)))</formula>
    </cfRule>
    <cfRule type="containsText" dxfId="4" priority="14" operator="containsText" text="En cours">
      <formula>NOT(ISERROR(SEARCH("En cours",D70)))</formula>
    </cfRule>
  </conditionalFormatting>
  <conditionalFormatting sqref="D77:D82">
    <cfRule type="containsText" dxfId="3" priority="11" operator="containsText" text="Terminé">
      <formula>NOT(ISERROR(SEARCH("Terminé",D77)))</formula>
    </cfRule>
    <cfRule type="containsText" dxfId="2" priority="12" operator="containsText" text="En cours">
      <formula>NOT(ISERROR(SEARCH("En cours",D77)))</formula>
    </cfRule>
  </conditionalFormatting>
  <conditionalFormatting sqref="D84">
    <cfRule type="containsText" dxfId="1" priority="1" operator="containsText" text="Terminé">
      <formula>NOT(ISERROR(SEARCH("Terminé",D84)))</formula>
    </cfRule>
    <cfRule type="containsText" dxfId="0" priority="2" operator="containsText" text="En cours">
      <formula>NOT(ISERROR(SEARCH("En cours",D84)))</formula>
    </cfRule>
  </conditionalFormatting>
  <printOptions horizontalCentered="1"/>
  <pageMargins left="0.47244094488188981" right="0.15748031496062989" top="1.4566929133858271" bottom="0.43307086614173229" header="0.31496062992125978" footer="0.19685039370078741"/>
  <pageSetup paperSize="9" orientation="portrait"/>
  <headerFooter alignWithMargins="0">
    <oddHeader>&amp;L&amp;"Arial,Gras"&amp;14Informaticien/-ne CFC&amp;"Arial,Normal"&amp;10 Travail pratique individuel 2023 (TPI)&amp;R&amp;"Arial,Gras"&amp;14 &amp;G</oddHeader>
    <oddFooter>&amp;L&amp;8 &amp;F&amp;R&amp;8 Page &amp;P/&amp;N</oddFooter>
  </headerFooter>
  <rowBreaks count="2" manualBreakCount="2">
    <brk id="48" max="16383" man="1"/>
    <brk id="84" max="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Journal_BARDY_MAXIME</vt:lpstr>
      <vt:lpstr>Journal_BARDY_MAXIME!Impression_des_titres</vt:lpstr>
      <vt:lpstr>Journal_BARDY_MAXIME!Zone_d_impression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Bardy Maxime</cp:lastModifiedBy>
  <cp:lastPrinted>2022-01-05T15:16:39Z</cp:lastPrinted>
  <dcterms:created xsi:type="dcterms:W3CDTF">2002-03-11T12:50:08Z</dcterms:created>
  <dcterms:modified xsi:type="dcterms:W3CDTF">2025-12-15T15:53:55Z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