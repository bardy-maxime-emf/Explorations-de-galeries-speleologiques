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KR\Explorations-de-galeries-speleologiques\documentation\"/>
    </mc:Choice>
  </mc:AlternateContent>
  <xr:revisionPtr revIDLastSave="0" documentId="13_ncr:1_{8D724FB4-9305-44E4-A8BF-C25E40B83574}" xr6:coauthVersionLast="47" xr6:coauthVersionMax="47" xr10:uidLastSave="{00000000-0000-0000-0000-000000000000}"/>
  <bookViews>
    <workbookView xWindow="-120" yWindow="-120" windowWidth="29040" windowHeight="15720" xr2:uid="{00000000-000D-0000-FFFF-FFFF00000000}"/>
  </bookViews>
  <sheets>
    <sheet name="Journal_Romain_Kolly" sheetId="8" r:id="rId1"/>
    <sheet name="Journal_NOM_PRENOM2" sheetId="9" r:id="rId2"/>
    <sheet name="Journal_NOM_PRENOM3" sheetId="10" r:id="rId3"/>
    <sheet name="Journal_NOM_PRENOM4" sheetId="11" r:id="rId4"/>
  </sheets>
  <definedNames>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_FilterDatabase" localSheetId="0" hidden="1">Journal_Romain_Kolly!$A$5:$HI$5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Titles" localSheetId="0">Journal_Romain_Kolly!$B:$D,Journal_Romain_Kolly!$1:$5</definedName>
    <definedName name="_xlnm.Print_Area" localSheetId="1">Journal_NOM_PRENOM2!$A$1:$D$83</definedName>
    <definedName name="_xlnm.Print_Area" localSheetId="2">Journal_NOM_PRENOM3!$A$1:$D$83</definedName>
    <definedName name="_xlnm.Print_Area" localSheetId="3">Journal_NOM_PRENOM4!$A$1:$D$83</definedName>
    <definedName name="_xlnm.Print_Area" localSheetId="0">Journal_Romain_Kolly!$A$1:$D$83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2" i="8" l="1"/>
  <c r="D25" i="8"/>
  <c r="D18" i="8"/>
  <c r="D11" i="8"/>
  <c r="D81" i="1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83" i="9" s="1"/>
  <c r="D60" i="8"/>
  <c r="D53" i="8"/>
  <c r="D46" i="8"/>
  <c r="D81" i="8"/>
  <c r="D74" i="8"/>
  <c r="D67" i="8"/>
  <c r="D39" i="8"/>
  <c r="D83" i="8" l="1"/>
</calcChain>
</file>

<file path=xl/sharedStrings.xml><?xml version="1.0" encoding="utf-8"?>
<sst xmlns="http://schemas.openxmlformats.org/spreadsheetml/2006/main" count="144" uniqueCount="30">
  <si>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</si>
  <si>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</si>
  <si>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</si>
  <si>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</si>
  <si>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</si>
  <si>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</si>
  <si>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</si>
  <si>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</si>
  <si>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</si>
  <si>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</si>
  <si>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</si>
  <si>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09.112.2025</t>
  </si>
  <si>
    <t>corriger le planning avec cyril</t>
  </si>
  <si>
    <t>Comprendre comment utiliser le rover et le connecter au réseaux wifi</t>
  </si>
  <si>
    <t xml:space="preserve">Implémenter la connection au rover </t>
  </si>
  <si>
    <t>J'ai eus des soucis a comprendre comment la lib fonctionnais ca ma pris du temps a tous bien mettre en place tester des bouts de code avant de vraiment rentrer dans l'implémentation de ma tache.</t>
  </si>
  <si>
    <t>Finir l'implémentation de la connection et deconnection entre notre programme et le Wireless Vint Hub</t>
  </si>
  <si>
    <t xml:space="preserve">J'ai eus remarquer que les tread et les paterne de programation comme observeur observer ou encore listener ne sont pas non plus ultra claire ca qui ma retarder sur l’implementation capteur mais sinon ce projet me motive et c'est donc pas un soucis de rester bloquer un petit moment et de devoir chercher pour comprendre comment faire la tache </t>
  </si>
  <si>
    <t>Début du projet analyse et conception</t>
  </si>
  <si>
    <t>Début du module mise en route du projet Analyse et conception</t>
  </si>
  <si>
    <t>Je suis motiver part le projet qui a l'air vraiment intérésent (PS: Ecrit apres coup le 16.12.25 je me souviens  plus en detail )</t>
  </si>
  <si>
    <t xml:space="preserve">Documentation </t>
  </si>
  <si>
    <t>Entretien avec le client</t>
  </si>
  <si>
    <t>Reprise en main du projet réinstalation &amp; configurations du materiel (rover) manque batterie</t>
  </si>
  <si>
    <t xml:space="preserve">Correction avec maxime des soucis de comprehension de certaine tache </t>
  </si>
  <si>
    <t>Implémentation des fonctionalité du sonar</t>
  </si>
  <si>
    <t xml:space="preserve">continuation d'implémentation du sonar </t>
  </si>
  <si>
    <t xml:space="preserve">Documentation des fonctionalité implémenter </t>
  </si>
  <si>
    <t>Debut de l'implémentation de la vue IHM dans l'app</t>
  </si>
  <si>
    <t xml:space="preserve">continuation d'implémentation de la vue IHM et différent element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</si>
</sst>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topLeftCell="A27" zoomScale="115" zoomScaleNormal="115" zoomScaleSheetLayoutView="115" workbookViewId="0">
      <pane ySplit="1" topLeftCell="A25" activePane="bottomLeft"/>
      <selection activeCell="D5" sqref="A5:XFD5"/>
      <selection pane="bottomLeft" activeCell="F45" sqref="F4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1</v>
      </c>
      <c r="B1" s="29"/>
      <c r="C1" s="29"/>
      <c r="D1" s="29"/>
    </row>
    <row r="2" spans="1:4" ht="18" x14ac:dyDescent="0.25">
      <c r="A2" s="34" t="s">
        <v>2</v>
      </c>
      <c r="B2" s="34"/>
      <c r="C2" s="35"/>
      <c r="D2" s="4" t="s">
        <v>9</v>
      </c>
    </row>
    <row r="4" spans="1:4" ht="12" customHeight="1" x14ac:dyDescent="0.2">
      <c r="A4" s="30" t="s">
        <v>3</v>
      </c>
      <c r="B4" s="30" t="s">
        <v>4</v>
      </c>
      <c r="C4" s="31"/>
      <c r="D4" s="5" t="s">
        <v>6</v>
      </c>
    </row>
    <row r="5" spans="1:4" ht="13.5" thickBot="1" x14ac:dyDescent="0.25">
      <c r="A5" s="32"/>
      <c r="B5" s="32"/>
      <c r="C5" s="33"/>
      <c r="D5" s="6" t="s">
        <v>5</v>
      </c>
    </row>
    <row r="6" spans="1:4" ht="12.75" customHeight="1" x14ac:dyDescent="0.2">
      <c r="A6" s="13">
        <v>45992</v>
      </c>
      <c r="B6" s="15" t="s">
        <v>19</v>
      </c>
      <c r="C6" s="16"/>
      <c r="D6" s="7">
        <v>8</v>
      </c>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8</v>
      </c>
    </row>
    <row r="12" spans="1:4" ht="24.95" customHeight="1" x14ac:dyDescent="0.2">
      <c r="A12" s="14"/>
      <c r="B12" s="19" t="s">
        <v>20</v>
      </c>
      <c r="C12" s="20"/>
      <c r="D12" s="21"/>
    </row>
    <row r="13" spans="1:4" ht="12.75" customHeight="1" x14ac:dyDescent="0.2">
      <c r="A13" s="25">
        <v>45993</v>
      </c>
      <c r="B13" s="27" t="s">
        <v>18</v>
      </c>
      <c r="C13" s="28"/>
      <c r="D13" s="7">
        <v>4</v>
      </c>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4</v>
      </c>
    </row>
    <row r="19" spans="1:4" ht="24.95" customHeight="1" thickBot="1" x14ac:dyDescent="0.25">
      <c r="A19" s="14"/>
      <c r="B19" s="19" t="s">
        <v>20</v>
      </c>
      <c r="C19" s="20"/>
      <c r="D19" s="21"/>
    </row>
    <row r="20" spans="1:4" ht="12.75" customHeight="1" x14ac:dyDescent="0.2">
      <c r="A20" s="13" t="s">
        <v>11</v>
      </c>
      <c r="B20" s="15" t="s">
        <v>12</v>
      </c>
      <c r="C20" s="16"/>
      <c r="D20" s="7">
        <v>1</v>
      </c>
    </row>
    <row r="21" spans="1:4" x14ac:dyDescent="0.2">
      <c r="A21" s="14"/>
      <c r="B21" s="17" t="s">
        <v>13</v>
      </c>
      <c r="C21" s="18"/>
      <c r="D21" s="8">
        <v>1.5</v>
      </c>
    </row>
    <row r="22" spans="1:4" x14ac:dyDescent="0.2">
      <c r="A22" s="14"/>
      <c r="B22" s="17" t="s">
        <v>14</v>
      </c>
      <c r="C22" s="18"/>
      <c r="D22" s="8">
        <v>1.5</v>
      </c>
    </row>
    <row r="23" spans="1:4" x14ac:dyDescent="0.2">
      <c r="A23" s="14"/>
      <c r="B23" s="17"/>
      <c r="C23" s="18"/>
      <c r="D23" s="8"/>
    </row>
    <row r="24" spans="1:4" x14ac:dyDescent="0.2">
      <c r="A24" s="14"/>
      <c r="B24" s="17"/>
      <c r="C24" s="18"/>
      <c r="D24" s="8"/>
    </row>
    <row r="25" spans="1:4" x14ac:dyDescent="0.2">
      <c r="A25" s="14"/>
      <c r="B25" s="2" t="s">
        <v>8</v>
      </c>
      <c r="C25" s="3" t="s">
        <v>7</v>
      </c>
      <c r="D25" s="9">
        <f>SUM(D20:D24)</f>
        <v>4</v>
      </c>
    </row>
    <row r="26" spans="1:4" ht="24.95" customHeight="1" x14ac:dyDescent="0.2">
      <c r="A26" s="14"/>
      <c r="B26" s="19" t="s">
        <v>15</v>
      </c>
      <c r="C26" s="20"/>
      <c r="D26" s="21"/>
    </row>
    <row r="27" spans="1:4" ht="12.75" customHeight="1" x14ac:dyDescent="0.2">
      <c r="A27" s="25">
        <v>46006</v>
      </c>
      <c r="B27" s="27" t="s">
        <v>16</v>
      </c>
      <c r="C27" s="28"/>
      <c r="D27" s="7">
        <v>3</v>
      </c>
    </row>
    <row r="28" spans="1:4" x14ac:dyDescent="0.2">
      <c r="A28" s="14"/>
      <c r="B28" s="17" t="s">
        <v>25</v>
      </c>
      <c r="C28" s="18"/>
      <c r="D28" s="8">
        <v>5</v>
      </c>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8</v>
      </c>
    </row>
    <row r="33" spans="1:4" ht="24.95" customHeight="1" x14ac:dyDescent="0.2">
      <c r="A33" s="14"/>
      <c r="B33" s="19" t="s">
        <v>17</v>
      </c>
      <c r="C33" s="20"/>
      <c r="D33" s="21"/>
    </row>
    <row r="34" spans="1:4" ht="12.75" customHeight="1" x14ac:dyDescent="0.2">
      <c r="A34" s="25">
        <v>46007</v>
      </c>
      <c r="B34" s="27" t="s">
        <v>21</v>
      </c>
      <c r="C34" s="28"/>
      <c r="D34" s="7">
        <v>1</v>
      </c>
    </row>
    <row r="35" spans="1:4" x14ac:dyDescent="0.2">
      <c r="A35" s="14"/>
      <c r="B35" s="17" t="s">
        <v>22</v>
      </c>
      <c r="C35" s="18"/>
      <c r="D35" s="8">
        <v>1</v>
      </c>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2</v>
      </c>
    </row>
    <row r="40" spans="1:4" ht="24.95" customHeight="1" x14ac:dyDescent="0.2">
      <c r="A40" s="26"/>
      <c r="B40" s="22"/>
      <c r="C40" s="23"/>
      <c r="D40" s="24"/>
    </row>
    <row r="41" spans="1:4" ht="12.75" customHeight="1" x14ac:dyDescent="0.2">
      <c r="A41" s="25">
        <v>46027</v>
      </c>
      <c r="B41" s="27" t="s">
        <v>23</v>
      </c>
      <c r="C41" s="28"/>
      <c r="D41" s="7">
        <v>1</v>
      </c>
    </row>
    <row r="42" spans="1:4" x14ac:dyDescent="0.2">
      <c r="A42" s="14"/>
      <c r="B42" s="17" t="s">
        <v>24</v>
      </c>
      <c r="C42" s="18"/>
      <c r="D42" s="8">
        <v>1</v>
      </c>
    </row>
    <row r="43" spans="1:4" x14ac:dyDescent="0.2">
      <c r="A43" s="14"/>
      <c r="B43" s="17" t="s">
        <v>26</v>
      </c>
      <c r="C43" s="18"/>
      <c r="D43" s="8">
        <v>2</v>
      </c>
    </row>
    <row r="44" spans="1:4" x14ac:dyDescent="0.2">
      <c r="A44" s="14"/>
      <c r="B44" s="17" t="s">
        <v>27</v>
      </c>
      <c r="C44" s="18"/>
      <c r="D44" s="8">
        <v>2</v>
      </c>
    </row>
    <row r="45" spans="1:4" x14ac:dyDescent="0.2">
      <c r="A45" s="14"/>
      <c r="B45" s="17" t="s">
        <v>28</v>
      </c>
      <c r="C45" s="18"/>
      <c r="D45" s="8">
        <v>2</v>
      </c>
    </row>
    <row r="46" spans="1:4" x14ac:dyDescent="0.2">
      <c r="A46" s="14"/>
      <c r="B46" s="2" t="s">
        <v>8</v>
      </c>
      <c r="C46" s="3" t="s">
        <v>7</v>
      </c>
      <c r="D46" s="9">
        <f>SUM(D41:D45)</f>
        <v>8</v>
      </c>
    </row>
    <row r="47" spans="1:4" ht="24.95" customHeight="1" x14ac:dyDescent="0.2">
      <c r="A47" s="26"/>
      <c r="B47" s="22"/>
      <c r="C47" s="23"/>
      <c r="D47" s="24"/>
    </row>
    <row r="48" spans="1:4" ht="12.75" customHeight="1" x14ac:dyDescent="0.2">
      <c r="A48" s="25">
        <v>46028</v>
      </c>
      <c r="B48" s="27" t="s">
        <v>29</v>
      </c>
      <c r="C48" s="28"/>
      <c r="D48" s="7">
        <v>4</v>
      </c>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4</v>
      </c>
    </row>
    <row r="54" spans="1:4" ht="24.95" customHeight="1" x14ac:dyDescent="0.2">
      <c r="A54" s="26"/>
      <c r="B54" s="22"/>
      <c r="C54" s="23"/>
      <c r="D54" s="24"/>
    </row>
    <row r="55" spans="1:4" ht="12.75" customHeight="1" x14ac:dyDescent="0.2">
      <c r="A55" s="25"/>
      <c r="B55" s="27"/>
      <c r="C55" s="28"/>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6"/>
      <c r="B61" s="22"/>
      <c r="C61" s="23"/>
      <c r="D61" s="24"/>
    </row>
    <row r="62" spans="1:4" ht="12.75" customHeight="1" x14ac:dyDescent="0.2">
      <c r="A62" s="25"/>
      <c r="B62" s="27"/>
      <c r="C62" s="28"/>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25"/>
      <c r="B69" s="27"/>
      <c r="C69" s="28"/>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6"/>
      <c r="B75" s="22"/>
      <c r="C75" s="23"/>
      <c r="D75" s="24"/>
    </row>
    <row r="76" spans="1:4" ht="12.75" customHeight="1" x14ac:dyDescent="0.2">
      <c r="A76" s="25"/>
      <c r="B76" s="27"/>
      <c r="C76" s="28"/>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6"/>
      <c r="B82" s="22"/>
      <c r="C82" s="23"/>
      <c r="D82" s="24"/>
    </row>
    <row r="83" spans="1:4" ht="12" customHeight="1" x14ac:dyDescent="0.2">
      <c r="A83" s="11"/>
      <c r="B83" s="10"/>
      <c r="C83" s="3" t="s">
        <v>10</v>
      </c>
      <c r="D83" s="12">
        <f>D11+D18+D25+D32+D39+D46+D53+D60+D67+D74+D81</f>
        <v>38</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95" priority="27" operator="containsText" text="Terminé">
      <formula>NOT(ISERROR(SEARCH("Terminé",D6)))</formula>
    </cfRule>
    <cfRule type="containsText" dxfId="94" priority="28" operator="containsText" text="En cours">
      <formula>NOT(ISERROR(SEARCH("En cours",D6)))</formula>
    </cfRule>
  </conditionalFormatting>
  <conditionalFormatting sqref="D13:D18">
    <cfRule type="containsText" dxfId="93" priority="25" operator="containsText" text="Terminé">
      <formula>NOT(ISERROR(SEARCH("Terminé",D13)))</formula>
    </cfRule>
    <cfRule type="containsText" dxfId="92" priority="26"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 operator="containsText" text="Terminé">
      <formula>NOT(ISERROR(SEARCH("Terminé",D27)))</formula>
    </cfRule>
    <cfRule type="containsText" dxfId="88" priority="2" operator="containsText" text="En cours">
      <formula>NOT(ISERROR(SEARCH("En cours",D27)))</formula>
    </cfRule>
  </conditionalFormatting>
  <conditionalFormatting sqref="D34:D39">
    <cfRule type="containsText" dxfId="87" priority="21" operator="containsText" text="Terminé">
      <formula>NOT(ISERROR(SEARCH("Terminé",D34)))</formula>
    </cfRule>
    <cfRule type="containsText" dxfId="86" priority="22" operator="containsText" text="En cours">
      <formula>NOT(ISERROR(SEARCH("En cours",D34)))</formula>
    </cfRule>
  </conditionalFormatting>
  <conditionalFormatting sqref="D41:D46">
    <cfRule type="containsText" dxfId="85" priority="13" operator="containsText" text="Terminé">
      <formula>NOT(ISERROR(SEARCH("Terminé",D41)))</formula>
    </cfRule>
    <cfRule type="containsText" dxfId="84" priority="14" operator="containsText" text="En cours">
      <formula>NOT(ISERROR(SEARCH("En cours",D41)))</formula>
    </cfRule>
  </conditionalFormatting>
  <conditionalFormatting sqref="D48:D53">
    <cfRule type="containsText" dxfId="83" priority="11" operator="containsText" text="Terminé">
      <formula>NOT(ISERROR(SEARCH("Terminé",D48)))</formula>
    </cfRule>
    <cfRule type="containsText" dxfId="82" priority="12" operator="containsText" text="En cours">
      <formula>NOT(ISERROR(SEARCH("En cours",D48)))</formula>
    </cfRule>
  </conditionalFormatting>
  <conditionalFormatting sqref="D55:D60">
    <cfRule type="containsText" dxfId="81" priority="9" operator="containsText" text="Terminé">
      <formula>NOT(ISERROR(SEARCH("Terminé",D55)))</formula>
    </cfRule>
    <cfRule type="containsText" dxfId="80" priority="10" operator="containsText" text="En cours">
      <formula>NOT(ISERROR(SEARCH("En cours",D55)))</formula>
    </cfRule>
  </conditionalFormatting>
  <conditionalFormatting sqref="D62:D67">
    <cfRule type="containsText" dxfId="79" priority="19" operator="containsText" text="Terminé">
      <formula>NOT(ISERROR(SEARCH("Terminé",D62)))</formula>
    </cfRule>
    <cfRule type="containsText" dxfId="78" priority="20" operator="containsText" text="En cours">
      <formula>NOT(ISERROR(SEARCH("En cours",D62)))</formula>
    </cfRule>
  </conditionalFormatting>
  <conditionalFormatting sqref="D69:D74">
    <cfRule type="containsText" dxfId="77" priority="17" operator="containsText" text="Terminé">
      <formula>NOT(ISERROR(SEARCH("Terminé",D69)))</formula>
    </cfRule>
    <cfRule type="containsText" dxfId="76" priority="18" operator="containsText" text="En cours">
      <formula>NOT(ISERROR(SEARCH("En cours",D69)))</formula>
    </cfRule>
  </conditionalFormatting>
  <conditionalFormatting sqref="D76:D81">
    <cfRule type="containsText" dxfId="75" priority="15" operator="containsText" text="Terminé">
      <formula>NOT(ISERROR(SEARCH("Terminé",D76)))</formula>
    </cfRule>
    <cfRule type="containsText" dxfId="74" priority="16" operator="containsText" text="En cours">
      <formula>NOT(ISERROR(SEARCH("En cours",D76)))</formula>
    </cfRule>
  </conditionalFormatting>
  <conditionalFormatting sqref="D83">
    <cfRule type="containsText" dxfId="73" priority="5" operator="containsText" text="Terminé">
      <formula>NOT(ISERROR(SEARCH("Terminé",D83)))</formula>
    </cfRule>
    <cfRule type="containsText" dxfId="72" priority="6"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zoomScale="115" zoomScaleNormal="115" zoomScaleSheetLayoutView="115" workbookViewId="0">
      <pane ySplit="1" activePane="bottomLeft"/>
      <selection activeCell="A5" sqref="A5:XFD5"/>
      <selection pane="bottomLeft" activeCell="I26" sqref="I2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1</v>
      </c>
      <c r="B1" s="29"/>
      <c r="C1" s="29"/>
      <c r="D1" s="29"/>
    </row>
    <row r="2" spans="1:4" ht="18" x14ac:dyDescent="0.25">
      <c r="A2" s="34" t="s">
        <v>2</v>
      </c>
      <c r="B2" s="34"/>
      <c r="C2" s="35"/>
      <c r="D2" s="4" t="s">
        <v>9</v>
      </c>
    </row>
    <row r="4" spans="1:4" ht="12" customHeight="1" x14ac:dyDescent="0.2">
      <c r="A4" s="30" t="s">
        <v>3</v>
      </c>
      <c r="B4" s="30" t="s">
        <v>4</v>
      </c>
      <c r="C4" s="31"/>
      <c r="D4" s="5" t="s">
        <v>6</v>
      </c>
    </row>
    <row r="5" spans="1:4" ht="13.5" thickBot="1" x14ac:dyDescent="0.25">
      <c r="A5" s="32"/>
      <c r="B5" s="32"/>
      <c r="C5" s="33"/>
      <c r="D5" s="6" t="s">
        <v>5</v>
      </c>
    </row>
    <row r="6" spans="1:4" ht="12.75" customHeight="1" x14ac:dyDescent="0.2">
      <c r="A6" s="13"/>
      <c r="B6" s="15"/>
      <c r="C6" s="16"/>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25"/>
      <c r="B13" s="27"/>
      <c r="C13" s="28"/>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25"/>
      <c r="B20" s="27"/>
      <c r="C20" s="28"/>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25"/>
      <c r="B27" s="27"/>
      <c r="C27" s="28"/>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6"/>
      <c r="B33" s="22"/>
      <c r="C33" s="23"/>
      <c r="D33" s="24"/>
    </row>
    <row r="34" spans="1:4" ht="12.75" customHeight="1" x14ac:dyDescent="0.2">
      <c r="A34" s="25"/>
      <c r="B34" s="27"/>
      <c r="C34" s="28"/>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6"/>
      <c r="B40" s="22"/>
      <c r="C40" s="23"/>
      <c r="D40" s="24"/>
    </row>
    <row r="41" spans="1:4" ht="12.75" customHeight="1" x14ac:dyDescent="0.2">
      <c r="A41" s="25"/>
      <c r="B41" s="27"/>
      <c r="C41" s="28"/>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6"/>
      <c r="B47" s="22"/>
      <c r="C47" s="23"/>
      <c r="D47" s="24"/>
    </row>
    <row r="48" spans="1:4" ht="12.75" customHeight="1" x14ac:dyDescent="0.2">
      <c r="A48" s="25"/>
      <c r="B48" s="27"/>
      <c r="C48" s="28"/>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6"/>
      <c r="B54" s="22"/>
      <c r="C54" s="23"/>
      <c r="D54" s="24"/>
    </row>
    <row r="55" spans="1:4" ht="12.75" customHeight="1" x14ac:dyDescent="0.2">
      <c r="A55" s="25"/>
      <c r="B55" s="27"/>
      <c r="C55" s="28"/>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6"/>
      <c r="B61" s="22"/>
      <c r="C61" s="23"/>
      <c r="D61" s="24"/>
    </row>
    <row r="62" spans="1:4" ht="12.75" customHeight="1" x14ac:dyDescent="0.2">
      <c r="A62" s="25"/>
      <c r="B62" s="27"/>
      <c r="C62" s="28"/>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25"/>
      <c r="B69" s="27"/>
      <c r="C69" s="28"/>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6"/>
      <c r="B75" s="22"/>
      <c r="C75" s="23"/>
      <c r="D75" s="24"/>
    </row>
    <row r="76" spans="1:4" ht="12.75" customHeight="1" x14ac:dyDescent="0.2">
      <c r="A76" s="25"/>
      <c r="B76" s="27"/>
      <c r="C76" s="28"/>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6"/>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1</v>
      </c>
      <c r="B1" s="29"/>
      <c r="C1" s="29"/>
      <c r="D1" s="29"/>
    </row>
    <row r="2" spans="1:4" ht="18" x14ac:dyDescent="0.25">
      <c r="A2" s="34" t="s">
        <v>2</v>
      </c>
      <c r="B2" s="34"/>
      <c r="C2" s="35"/>
      <c r="D2" s="4" t="s">
        <v>9</v>
      </c>
    </row>
    <row r="4" spans="1:4" ht="12" customHeight="1" x14ac:dyDescent="0.2">
      <c r="A4" s="30" t="s">
        <v>3</v>
      </c>
      <c r="B4" s="30" t="s">
        <v>4</v>
      </c>
      <c r="C4" s="31"/>
      <c r="D4" s="5" t="s">
        <v>6</v>
      </c>
    </row>
    <row r="5" spans="1:4" ht="13.5" thickBot="1" x14ac:dyDescent="0.25">
      <c r="A5" s="32"/>
      <c r="B5" s="32"/>
      <c r="C5" s="33"/>
      <c r="D5" s="6" t="s">
        <v>5</v>
      </c>
    </row>
    <row r="6" spans="1:4" ht="12.75" customHeight="1" x14ac:dyDescent="0.2">
      <c r="A6" s="13"/>
      <c r="B6" s="15"/>
      <c r="C6" s="16"/>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25"/>
      <c r="B13" s="27"/>
      <c r="C13" s="28"/>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25"/>
      <c r="B20" s="27"/>
      <c r="C20" s="28"/>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25"/>
      <c r="B27" s="27"/>
      <c r="C27" s="28"/>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6"/>
      <c r="B33" s="22"/>
      <c r="C33" s="23"/>
      <c r="D33" s="24"/>
    </row>
    <row r="34" spans="1:4" ht="12.75" customHeight="1" x14ac:dyDescent="0.2">
      <c r="A34" s="25"/>
      <c r="B34" s="27"/>
      <c r="C34" s="28"/>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6"/>
      <c r="B40" s="22"/>
      <c r="C40" s="23"/>
      <c r="D40" s="24"/>
    </row>
    <row r="41" spans="1:4" ht="12.75" customHeight="1" x14ac:dyDescent="0.2">
      <c r="A41" s="25"/>
      <c r="B41" s="27"/>
      <c r="C41" s="28"/>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6"/>
      <c r="B47" s="22"/>
      <c r="C47" s="23"/>
      <c r="D47" s="24"/>
    </row>
    <row r="48" spans="1:4" ht="12.75" customHeight="1" x14ac:dyDescent="0.2">
      <c r="A48" s="25"/>
      <c r="B48" s="27"/>
      <c r="C48" s="28"/>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6"/>
      <c r="B54" s="22"/>
      <c r="C54" s="23"/>
      <c r="D54" s="24"/>
    </row>
    <row r="55" spans="1:4" ht="12.75" customHeight="1" x14ac:dyDescent="0.2">
      <c r="A55" s="25"/>
      <c r="B55" s="27"/>
      <c r="C55" s="28"/>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6"/>
      <c r="B61" s="22"/>
      <c r="C61" s="23"/>
      <c r="D61" s="24"/>
    </row>
    <row r="62" spans="1:4" ht="12.75" customHeight="1" x14ac:dyDescent="0.2">
      <c r="A62" s="25"/>
      <c r="B62" s="27"/>
      <c r="C62" s="28"/>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25"/>
      <c r="B69" s="27"/>
      <c r="C69" s="28"/>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6"/>
      <c r="B75" s="22"/>
      <c r="C75" s="23"/>
      <c r="D75" s="24"/>
    </row>
    <row r="76" spans="1:4" ht="12.75" customHeight="1" x14ac:dyDescent="0.2">
      <c r="A76" s="25"/>
      <c r="B76" s="27"/>
      <c r="C76" s="28"/>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6"/>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1</v>
      </c>
      <c r="B1" s="29"/>
      <c r="C1" s="29"/>
      <c r="D1" s="29"/>
    </row>
    <row r="2" spans="1:4" ht="18" x14ac:dyDescent="0.25">
      <c r="A2" s="34" t="s">
        <v>2</v>
      </c>
      <c r="B2" s="34"/>
      <c r="C2" s="35"/>
      <c r="D2" s="4" t="s">
        <v>9</v>
      </c>
    </row>
    <row r="4" spans="1:4" ht="12" customHeight="1" x14ac:dyDescent="0.2">
      <c r="A4" s="30" t="s">
        <v>3</v>
      </c>
      <c r="B4" s="30" t="s">
        <v>4</v>
      </c>
      <c r="C4" s="31"/>
      <c r="D4" s="5" t="s">
        <v>6</v>
      </c>
    </row>
    <row r="5" spans="1:4" ht="13.5" thickBot="1" x14ac:dyDescent="0.25">
      <c r="A5" s="32"/>
      <c r="B5" s="32"/>
      <c r="C5" s="33"/>
      <c r="D5" s="6" t="s">
        <v>5</v>
      </c>
    </row>
    <row r="6" spans="1:4" ht="12.75" customHeight="1" x14ac:dyDescent="0.2">
      <c r="A6" s="13"/>
      <c r="B6" s="15"/>
      <c r="C6" s="16"/>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25"/>
      <c r="B13" s="27"/>
      <c r="C13" s="28"/>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25"/>
      <c r="B20" s="27"/>
      <c r="C20" s="28"/>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25"/>
      <c r="B27" s="27"/>
      <c r="C27" s="28"/>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6"/>
      <c r="B33" s="22"/>
      <c r="C33" s="23"/>
      <c r="D33" s="24"/>
    </row>
    <row r="34" spans="1:4" ht="12.75" customHeight="1" x14ac:dyDescent="0.2">
      <c r="A34" s="25"/>
      <c r="B34" s="27"/>
      <c r="C34" s="28"/>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6"/>
      <c r="B40" s="22"/>
      <c r="C40" s="23"/>
      <c r="D40" s="24"/>
    </row>
    <row r="41" spans="1:4" ht="12.75" customHeight="1" x14ac:dyDescent="0.2">
      <c r="A41" s="25"/>
      <c r="B41" s="27"/>
      <c r="C41" s="28"/>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6"/>
      <c r="B47" s="22"/>
      <c r="C47" s="23"/>
      <c r="D47" s="24"/>
    </row>
    <row r="48" spans="1:4" ht="12.75" customHeight="1" x14ac:dyDescent="0.2">
      <c r="A48" s="25"/>
      <c r="B48" s="27"/>
      <c r="C48" s="28"/>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6"/>
      <c r="B54" s="22"/>
      <c r="C54" s="23"/>
      <c r="D54" s="24"/>
    </row>
    <row r="55" spans="1:4" ht="12.75" customHeight="1" x14ac:dyDescent="0.2">
      <c r="A55" s="25"/>
      <c r="B55" s="27"/>
      <c r="C55" s="28"/>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6"/>
      <c r="B61" s="22"/>
      <c r="C61" s="23"/>
      <c r="D61" s="24"/>
    </row>
    <row r="62" spans="1:4" ht="12.75" customHeight="1" x14ac:dyDescent="0.2">
      <c r="A62" s="25"/>
      <c r="B62" s="27"/>
      <c r="C62" s="28"/>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25"/>
      <c r="B69" s="27"/>
      <c r="C69" s="28"/>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6"/>
      <c r="B75" s="22"/>
      <c r="C75" s="23"/>
      <c r="D75" s="24"/>
    </row>
    <row r="76" spans="1:4" ht="12.75" customHeight="1" x14ac:dyDescent="0.2">
      <c r="A76" s="25"/>
      <c r="B76" s="27"/>
      <c r="C76" s="28"/>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6"/>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E8C0AFF7-6D45-4588-A3CE-0506D8213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Journal_Romain_Kolly</vt:lpstr>
      <vt:lpstr>Journal_NOM_PRENOM2</vt:lpstr>
      <vt:lpstr>Journal_NOM_PRENOM3</vt:lpstr>
      <vt:lpstr>Journal_NOM_PRENOM4</vt:lpstr>
      <vt:lpstr>Journal_NOM_PRENOM2!Impression_des_titres</vt:lpstr>
      <vt:lpstr>Journal_NOM_PRENOM3!Impression_des_titres</vt:lpstr>
      <vt:lpstr>Journal_NOM_PRENOM4!Impression_des_titres</vt:lpstr>
      <vt:lpstr>Journal_Romain_Kolly!Impression_des_titres</vt:lpstr>
      <vt:lpstr>Journal_NOM_PRENOM2!Zone_d_impression</vt:lpstr>
      <vt:lpstr>Journal_NOM_PRENOM3!Zone_d_impression</vt:lpstr>
      <vt:lpstr>Journal_NOM_PRENOM4!Zone_d_impression</vt:lpstr>
      <vt:lpstr>Journal_Romain_Kolly!Zone_d_impression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Kolly Romain</cp:lastModifiedBy>
  <cp:lastPrinted>2022-01-05T15:16:39Z</cp:lastPrinted>
  <dcterms:created xsi:type="dcterms:W3CDTF">2002-03-11T12:50:08Z</dcterms:created>
  <dcterms:modified xsi:type="dcterms:W3CDTF">2026-01-06T10:11:14Z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