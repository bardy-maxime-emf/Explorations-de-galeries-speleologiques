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Explorations-de-galeries-speleologiques\documentation\"/>
    </mc:Choice>
  </mc:AlternateContent>
  <xr:revisionPtr revIDLastSave="0" documentId="13_ncr:1_{CFAD06F2-0136-40DC-AC6E-FBFC4B09ADA3}" xr6:coauthVersionLast="47" xr6:coauthVersionMax="47" xr10:uidLastSave="{00000000-0000-0000-0000-000000000000}"/>
  <bookViews>
    <workbookView xWindow="28680" yWindow="-120" windowWidth="29040" windowHeight="15720" xr2:uid="{00000000-000D-0000-FFFF-FFFF00000000}"/>
  </bookViews>
  <sheets>
    <sheet name="Journal_LEFORT_JULIE" sheetId="8" r:id="rId1"/>
  </sheets>
  <definedNames>
    <definedName name="_xlnm._FilterDatabase" localSheetId="0" hidden="1">Journal_LEFORT_JULIE!$A$5:$HI$5</definedName>
    <definedName name="_xlnm.Print_Titles" localSheetId="0">Journal_LEFORT_JULIE!$B:$D,Journal_LEFORT_JULIE!$1:$5</definedName>
    <definedName name="_xlnm.Print_Area" localSheetId="0">Journal_LEFORT_JULIE!$A$1:$D$83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9" i="8" l="1"/>
  <c r="D32" i="8"/>
  <c r="D25" i="8"/>
  <c r="D60" i="8"/>
  <c r="D53" i="8"/>
  <c r="D81" i="8"/>
  <c r="D74" i="8"/>
  <c r="D67" i="8"/>
  <c r="D46" i="8"/>
  <c r="D18" i="8"/>
  <c r="D11" i="8"/>
  <c r="D83" i="8" l="1"/>
</calcChain>
</file>

<file path=xl/sharedStrings.xml><?xml version="1.0" encoding="utf-8"?>
<sst xmlns="http://schemas.openxmlformats.org/spreadsheetml/2006/main" count="59" uniqueCount="38">
  <si>
    <t>Insérer les lignes au-dessus de celle-ci !</t>
  </si>
  <si>
    <t>Date</t>
  </si>
  <si>
    <t>Travail effectué</t>
  </si>
  <si>
    <t>[H.h]</t>
  </si>
  <si>
    <t>Temps</t>
  </si>
  <si>
    <t>Total &gt;</t>
  </si>
  <si>
    <r>
      <t xml:space="preserve">Réflexion personnelle </t>
    </r>
    <r>
      <rPr>
        <sz val="8"/>
        <rFont val="Calibri"/>
        <family val="2"/>
      </rPr>
      <t>↓↓↓</t>
    </r>
  </si>
  <si>
    <t>Total général &gt;</t>
  </si>
  <si>
    <t>Correction du schéma Use Case</t>
  </si>
  <si>
    <t>Daily Scrum</t>
  </si>
  <si>
    <t>Implémentation de la manette avec JXInput (pas terminé)</t>
  </si>
  <si>
    <t>Rédaction du rapport SCRUM</t>
  </si>
  <si>
    <t xml:space="preserve">Cette semaine, je me suis sentie un peu perdue, j'ai l'impression que y'a quelques choses floues à propos du projet. Mais j'ai confiance que ça va s'améliorer, j'ai déjà l'impression que ça va mieux avec la manette vu que j'ai expérimenté </t>
  </si>
  <si>
    <t>Implémentation de la manette avec JXInput</t>
  </si>
  <si>
    <t xml:space="preserve">Daily Scrum </t>
  </si>
  <si>
    <t>Documentation SCRUM</t>
  </si>
  <si>
    <t>Documentation projet + planning</t>
  </si>
  <si>
    <t>IHM avec Cyril</t>
  </si>
  <si>
    <t xml:space="preserve">Aujourd'hui, j'ai été très motivée, on a réussi à implémenter une grosse partie du projet donc ça m'a redonné l'impression qu'on arriverait à finir. J'ai aussi avancé la documentation et j'ai essayé d'aider Cyril avec l'IHM. En gros, aujourd'hui c'est bien passé, j'ai hâte de demain pour continuer. </t>
  </si>
  <si>
    <t xml:space="preserve">Projet: Exploration de galeries spéléologiques  </t>
  </si>
  <si>
    <t>Lefort Julie</t>
  </si>
  <si>
    <t>Documentation générale du projet</t>
  </si>
  <si>
    <t>Réunion client + SCRUM</t>
  </si>
  <si>
    <t>Schéma d'activité</t>
  </si>
  <si>
    <t>J'aimerais bien qu'on se soit rendus compte plus tôt que la manière qu'on fait les réunions SCRUM n'est pas la bonne vu que ça nous aurait permis de gagner un peu du temps. Je suis contente qu'on ait déjà bien avancé le projet (fini v1 et commencé v2), mais j'ai l'impression de pas être très utile vu que j'ai quasiment rien codé, j'ai seulement fait la documentation. Mais la réunion client c'est bien passée donc c'est bien et maintenant nous avons des pistes pour améliorer notre manière de travailler. On verra comment ca se passe la prochaine fois, mais je suis toujours motivée pour finir ce projet.</t>
  </si>
  <si>
    <t>Schéma de séquence</t>
  </si>
  <si>
    <t>Merge des branches avec Cyril</t>
  </si>
  <si>
    <t>Réunion sprint planning + démo</t>
  </si>
  <si>
    <t>Exercice en classe + théories</t>
  </si>
  <si>
    <t>Résolution des conflits du code</t>
  </si>
  <si>
    <t>Séance SCRUM</t>
  </si>
  <si>
    <t>Présentation + Websummary</t>
  </si>
  <si>
    <t>Je suis contente que le code se passe bien, j'ai bien aimé le fait de faire l'IHM ca change un peu</t>
  </si>
  <si>
    <t>Définition des seuils d'erreurs pour les capteurs</t>
  </si>
  <si>
    <t>Diagramme d'activité</t>
  </si>
  <si>
    <t>Réunion</t>
  </si>
  <si>
    <t>J'ai enfin codé un peu, ca m'a fait plaisir de pouvoir changer un peu d'activité à faire. Toujours motivée car le projet avance bien, le fil d'Ariane fonctionne donc c'est bien car c'est ce qui m'inquiétait un peu.</t>
  </si>
  <si>
    <t>Le code a eu pas mal de conflit aujourd'hui lors des merge donc j'ai eu un peu peur qu'on perde du travail, mais au final tout fonctionne. On a meme ajouté des nouvelles fonctionnalités ce qui est sympa mais j'aurais préféré qu'on finisse la doc avant de partir sur des améliorations. Je reste quand même satisfaite de notre travail et j'ai hate de pouvoir le présenter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</si>
</sst>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50">
    <xf numFmtId="0" fontId="0" fillId="0" borderId="0" xfId="0"/>
    <xf numFmtId="0" fontId="0" fillId="0" borderId="0" xfId="0" applyProtection="1">
      <protection locked="0"/>
    </xf>
    <xf numFmtId="0" fontId="3" fillId="3" borderId="10" xfId="0" applyFont="1" applyFill="1" applyBorder="1" applyAlignment="1" applyProtection="1">
      <alignment horizontal="left" vertical="center"/>
      <protection locked="0"/>
    </xf>
    <xf numFmtId="0" fontId="3"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3" fillId="0" borderId="7" xfId="0" applyNumberFormat="1" applyFont="1" applyBorder="1" applyAlignment="1" applyProtection="1">
      <alignment horizontal="center" vertical="center"/>
      <protection locked="0"/>
    </xf>
    <xf numFmtId="165" fontId="3" fillId="0" borderId="5" xfId="0" applyNumberFormat="1" applyFont="1" applyBorder="1" applyAlignment="1" applyProtection="1">
      <alignment horizontal="center" vertical="center"/>
      <protection locked="0"/>
    </xf>
    <xf numFmtId="165"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0" fontId="3" fillId="0" borderId="7" xfId="0" applyFont="1" applyBorder="1" applyAlignment="1" applyProtection="1">
      <alignment horizontal="center"/>
      <protection locked="0"/>
    </xf>
    <xf numFmtId="0" fontId="3" fillId="0" borderId="5" xfId="0" applyFont="1" applyBorder="1" applyAlignment="1" applyProtection="1">
      <alignment horizontal="center"/>
      <protection locked="0"/>
    </xf>
    <xf numFmtId="0" fontId="3" fillId="0" borderId="7" xfId="0" applyFont="1" applyBorder="1" applyProtection="1">
      <protection locked="0"/>
    </xf>
    <xf numFmtId="0" fontId="3" fillId="0" borderId="10" xfId="0" applyFont="1" applyBorder="1" applyAlignment="1" applyProtection="1">
      <alignment horizontal="left"/>
      <protection locked="0"/>
    </xf>
    <xf numFmtId="0" fontId="3" fillId="0" borderId="16" xfId="0" applyFont="1" applyBorder="1" applyAlignment="1" applyProtection="1">
      <alignment horizontal="left"/>
      <protection locked="0"/>
    </xf>
    <xf numFmtId="0" fontId="3" fillId="0" borderId="11" xfId="0" applyFont="1" applyBorder="1" applyAlignment="1" applyProtection="1">
      <alignment horizontal="left"/>
      <protection locked="0"/>
    </xf>
    <xf numFmtId="0" fontId="3" fillId="0" borderId="6" xfId="0" applyFont="1" applyBorder="1" applyAlignment="1" applyProtection="1">
      <alignment horizontal="left"/>
      <protection locked="0"/>
    </xf>
    <xf numFmtId="0" fontId="3" fillId="0" borderId="12" xfId="0" applyFont="1" applyBorder="1" applyAlignment="1" applyProtection="1">
      <alignment horizontal="left"/>
      <protection locked="0"/>
    </xf>
    <xf numFmtId="0" fontId="3" fillId="0" borderId="15" xfId="0" applyFont="1" applyBorder="1" applyAlignment="1" applyProtection="1">
      <alignment horizontal="left"/>
      <protection locked="0"/>
    </xf>
    <xf numFmtId="0" fontId="2"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3" fillId="0" borderId="10" xfId="0" applyFont="1" applyBorder="1" applyAlignment="1" applyProtection="1">
      <alignment horizontal="left" vertical="center"/>
      <protection locked="0"/>
    </xf>
    <xf numFmtId="0" fontId="3" fillId="0" borderId="16" xfId="0" applyFont="1" applyBorder="1" applyAlignment="1" applyProtection="1">
      <alignment horizontal="left" vertical="center"/>
      <protection locked="0"/>
    </xf>
    <xf numFmtId="0" fontId="3" fillId="0" borderId="11"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3" fillId="0" borderId="11" xfId="0" applyFont="1" applyBorder="1" applyAlignment="1" applyProtection="1">
      <alignment horizontal="left" vertical="top" wrapText="1"/>
      <protection locked="0"/>
    </xf>
    <xf numFmtId="0" fontId="3" fillId="0" borderId="0" xfId="0" applyFont="1" applyAlignment="1" applyProtection="1">
      <alignment horizontal="left" vertical="top" wrapText="1"/>
      <protection locked="0"/>
    </xf>
    <xf numFmtId="0" fontId="3"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3" fillId="0" borderId="12" xfId="0" applyFont="1" applyBorder="1" applyAlignment="1" applyProtection="1">
      <alignment horizontal="left" vertical="top" wrapText="1"/>
      <protection locked="0"/>
    </xf>
    <xf numFmtId="0" fontId="3" fillId="0" borderId="17" xfId="0" applyFont="1" applyBorder="1" applyAlignment="1" applyProtection="1">
      <alignment horizontal="left" vertical="top" wrapText="1"/>
      <protection locked="0"/>
    </xf>
    <xf numFmtId="0" fontId="3" fillId="0" borderId="15" xfId="0" applyFont="1" applyBorder="1" applyAlignment="1" applyProtection="1">
      <alignment horizontal="left" vertical="top" wrapText="1"/>
      <protection locked="0"/>
    </xf>
    <xf numFmtId="0" fontId="4" fillId="0" borderId="0" xfId="0" applyFont="1" applyAlignment="1" applyProtection="1">
      <alignment horizontal="left"/>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3" fillId="0" borderId="19" xfId="0" applyFont="1" applyBorder="1" applyAlignment="1" applyProtection="1">
      <alignment horizontal="left" vertical="top" wrapText="1"/>
      <protection locked="0"/>
    </xf>
    <xf numFmtId="0" fontId="3" fillId="0" borderId="18" xfId="0" applyFont="1" applyBorder="1" applyAlignment="1" applyProtection="1">
      <alignment horizontal="left" vertical="top" wrapText="1"/>
      <protection locked="0"/>
    </xf>
    <xf numFmtId="0" fontId="3" fillId="0" borderId="20" xfId="0" applyFont="1" applyBorder="1" applyAlignment="1" applyProtection="1">
      <alignment horizontal="left" vertical="top" wrapText="1"/>
      <protection locked="0"/>
    </xf>
  </cellXfs>
  <cellStyles count="1">
    <cellStyle name="Normal" xfId="0" builtinId="0"/>
  </cellStyles>
  <dxfs count="2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0" activePane="bottomLeft"/>
      <selection activeCell="D5" sqref="A5:XFD5"/>
      <selection pane="bottomLeft" activeCell="H48" sqref="H4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6" t="s">
        <v>19</v>
      </c>
      <c r="B1" s="37"/>
      <c r="C1" s="37"/>
      <c r="D1" s="37"/>
    </row>
    <row r="2" spans="1:4" ht="18" x14ac:dyDescent="0.25">
      <c r="A2" s="44" t="s">
        <v>20</v>
      </c>
      <c r="B2" s="44"/>
      <c r="C2" s="45"/>
      <c r="D2" s="4"/>
    </row>
    <row r="4" spans="1:4" ht="12" customHeight="1" x14ac:dyDescent="0.2">
      <c r="A4" s="38" t="s">
        <v>1</v>
      </c>
      <c r="B4" s="38" t="s">
        <v>2</v>
      </c>
      <c r="C4" s="39"/>
      <c r="D4" s="5" t="s">
        <v>4</v>
      </c>
    </row>
    <row r="5" spans="1:4" ht="13.5" thickBot="1" x14ac:dyDescent="0.25">
      <c r="A5" s="40"/>
      <c r="B5" s="40"/>
      <c r="C5" s="41"/>
      <c r="D5" s="6" t="s">
        <v>3</v>
      </c>
    </row>
    <row r="6" spans="1:4" ht="12.75" customHeight="1" x14ac:dyDescent="0.2">
      <c r="A6" s="46">
        <v>46000</v>
      </c>
      <c r="B6" s="42" t="s">
        <v>8</v>
      </c>
      <c r="C6" s="43"/>
      <c r="D6" s="7">
        <v>1</v>
      </c>
    </row>
    <row r="7" spans="1:4" x14ac:dyDescent="0.2">
      <c r="A7" s="24"/>
      <c r="B7" s="27" t="s">
        <v>9</v>
      </c>
      <c r="C7" s="28"/>
      <c r="D7" s="8">
        <v>0.15</v>
      </c>
    </row>
    <row r="8" spans="1:4" x14ac:dyDescent="0.2">
      <c r="A8" s="24"/>
      <c r="B8" s="27" t="s">
        <v>10</v>
      </c>
      <c r="C8" s="28"/>
      <c r="D8" s="8">
        <v>1.8</v>
      </c>
    </row>
    <row r="9" spans="1:4" x14ac:dyDescent="0.2">
      <c r="A9" s="24"/>
      <c r="B9" s="27" t="s">
        <v>11</v>
      </c>
      <c r="C9" s="28"/>
      <c r="D9" s="8">
        <v>0.5</v>
      </c>
    </row>
    <row r="10" spans="1:4" x14ac:dyDescent="0.2">
      <c r="A10" s="24"/>
      <c r="B10" s="27"/>
      <c r="C10" s="28"/>
      <c r="D10" s="8"/>
    </row>
    <row r="11" spans="1:4" x14ac:dyDescent="0.2">
      <c r="A11" s="24"/>
      <c r="B11" s="2" t="s">
        <v>6</v>
      </c>
      <c r="C11" s="3" t="s">
        <v>5</v>
      </c>
      <c r="D11" s="9">
        <f>SUM(D6:D10)</f>
        <v>3.45</v>
      </c>
    </row>
    <row r="12" spans="1:4" ht="24.95" customHeight="1" x14ac:dyDescent="0.2">
      <c r="A12" s="24"/>
      <c r="B12" s="29" t="s">
        <v>12</v>
      </c>
      <c r="C12" s="30"/>
      <c r="D12" s="31"/>
    </row>
    <row r="13" spans="1:4" ht="12.75" customHeight="1" x14ac:dyDescent="0.2">
      <c r="A13" s="23">
        <v>46006</v>
      </c>
      <c r="B13" s="25" t="s">
        <v>13</v>
      </c>
      <c r="C13" s="26"/>
      <c r="D13" s="7">
        <v>2</v>
      </c>
    </row>
    <row r="14" spans="1:4" x14ac:dyDescent="0.2">
      <c r="A14" s="24"/>
      <c r="B14" s="27" t="s">
        <v>14</v>
      </c>
      <c r="C14" s="28"/>
      <c r="D14" s="8">
        <v>0.1</v>
      </c>
    </row>
    <row r="15" spans="1:4" x14ac:dyDescent="0.2">
      <c r="A15" s="24"/>
      <c r="B15" s="27" t="s">
        <v>15</v>
      </c>
      <c r="C15" s="28"/>
      <c r="D15" s="8">
        <v>0.2</v>
      </c>
    </row>
    <row r="16" spans="1:4" x14ac:dyDescent="0.2">
      <c r="A16" s="24"/>
      <c r="B16" s="27" t="s">
        <v>16</v>
      </c>
      <c r="C16" s="28"/>
      <c r="D16" s="8">
        <v>3.2</v>
      </c>
    </row>
    <row r="17" spans="1:4" x14ac:dyDescent="0.2">
      <c r="A17" s="24"/>
      <c r="B17" s="27" t="s">
        <v>17</v>
      </c>
      <c r="C17" s="28"/>
      <c r="D17" s="8">
        <v>2</v>
      </c>
    </row>
    <row r="18" spans="1:4" x14ac:dyDescent="0.2">
      <c r="A18" s="24"/>
      <c r="B18" s="2" t="s">
        <v>6</v>
      </c>
      <c r="C18" s="3" t="s">
        <v>5</v>
      </c>
      <c r="D18" s="9">
        <f>SUM(D13:D17)</f>
        <v>7.5</v>
      </c>
    </row>
    <row r="19" spans="1:4" ht="24.95" customHeight="1" x14ac:dyDescent="0.2">
      <c r="A19" s="24"/>
      <c r="B19" s="29" t="s">
        <v>18</v>
      </c>
      <c r="C19" s="30"/>
      <c r="D19" s="31"/>
    </row>
    <row r="20" spans="1:4" ht="12.75" customHeight="1" x14ac:dyDescent="0.2">
      <c r="A20" s="23">
        <v>46007</v>
      </c>
      <c r="B20" s="25" t="s">
        <v>21</v>
      </c>
      <c r="C20" s="26"/>
      <c r="D20" s="7">
        <v>2</v>
      </c>
    </row>
    <row r="21" spans="1:4" x14ac:dyDescent="0.2">
      <c r="A21" s="24"/>
      <c r="B21" s="27" t="s">
        <v>22</v>
      </c>
      <c r="C21" s="28"/>
      <c r="D21" s="8">
        <v>1</v>
      </c>
    </row>
    <row r="22" spans="1:4" x14ac:dyDescent="0.2">
      <c r="A22" s="24"/>
      <c r="B22" s="27" t="s">
        <v>23</v>
      </c>
      <c r="C22" s="28"/>
      <c r="D22" s="8">
        <v>0.5</v>
      </c>
    </row>
    <row r="23" spans="1:4" x14ac:dyDescent="0.2">
      <c r="A23" s="24"/>
      <c r="B23" s="27"/>
      <c r="C23" s="28"/>
      <c r="D23" s="8"/>
    </row>
    <row r="24" spans="1:4" x14ac:dyDescent="0.2">
      <c r="A24" s="24"/>
      <c r="B24" s="27"/>
      <c r="C24" s="28"/>
      <c r="D24" s="8"/>
    </row>
    <row r="25" spans="1:4" x14ac:dyDescent="0.2">
      <c r="A25" s="24"/>
      <c r="B25" s="2" t="s">
        <v>6</v>
      </c>
      <c r="C25" s="3" t="s">
        <v>5</v>
      </c>
      <c r="D25" s="9">
        <f>SUM(D20:D24)</f>
        <v>3.5</v>
      </c>
    </row>
    <row r="26" spans="1:4" ht="24.95" customHeight="1" x14ac:dyDescent="0.2">
      <c r="A26" s="24"/>
      <c r="B26" s="29" t="s">
        <v>24</v>
      </c>
      <c r="C26" s="30"/>
      <c r="D26" s="31"/>
    </row>
    <row r="27" spans="1:4" ht="12.75" customHeight="1" x14ac:dyDescent="0.2">
      <c r="A27" s="23">
        <v>46027</v>
      </c>
      <c r="B27" s="25" t="s">
        <v>25</v>
      </c>
      <c r="C27" s="26"/>
      <c r="D27" s="7">
        <v>1.5</v>
      </c>
    </row>
    <row r="28" spans="1:4" x14ac:dyDescent="0.2">
      <c r="A28" s="24"/>
      <c r="B28" s="27" t="s">
        <v>26</v>
      </c>
      <c r="C28" s="28"/>
      <c r="D28" s="8">
        <v>1.2</v>
      </c>
    </row>
    <row r="29" spans="1:4" x14ac:dyDescent="0.2">
      <c r="A29" s="24"/>
      <c r="B29" s="27" t="s">
        <v>27</v>
      </c>
      <c r="C29" s="28"/>
      <c r="D29" s="8">
        <v>1</v>
      </c>
    </row>
    <row r="30" spans="1:4" x14ac:dyDescent="0.2">
      <c r="A30" s="24"/>
      <c r="B30" s="27" t="s">
        <v>28</v>
      </c>
      <c r="C30" s="28"/>
      <c r="D30" s="8">
        <v>1.3</v>
      </c>
    </row>
    <row r="31" spans="1:4" x14ac:dyDescent="0.2">
      <c r="A31" s="24"/>
      <c r="B31" s="27" t="s">
        <v>17</v>
      </c>
      <c r="C31" s="28"/>
      <c r="D31" s="8">
        <v>2.5</v>
      </c>
    </row>
    <row r="32" spans="1:4" x14ac:dyDescent="0.2">
      <c r="A32" s="24"/>
      <c r="B32" s="2" t="s">
        <v>6</v>
      </c>
      <c r="C32" s="3" t="s">
        <v>5</v>
      </c>
      <c r="D32" s="9">
        <f>SUM(D27:D31)</f>
        <v>7.5</v>
      </c>
    </row>
    <row r="33" spans="1:4" ht="24.95" customHeight="1" x14ac:dyDescent="0.2">
      <c r="A33" s="32"/>
      <c r="B33" s="33" t="s">
        <v>32</v>
      </c>
      <c r="C33" s="34"/>
      <c r="D33" s="35"/>
    </row>
    <row r="34" spans="1:4" ht="12.75" customHeight="1" x14ac:dyDescent="0.2">
      <c r="A34" s="23">
        <v>46028</v>
      </c>
      <c r="B34" s="16" t="s">
        <v>33</v>
      </c>
      <c r="C34" s="17"/>
      <c r="D34" s="13">
        <v>1.5</v>
      </c>
    </row>
    <row r="35" spans="1:4" x14ac:dyDescent="0.2">
      <c r="A35" s="24"/>
      <c r="B35" s="18" t="s">
        <v>34</v>
      </c>
      <c r="C35" s="19"/>
      <c r="D35" s="14">
        <v>1.5</v>
      </c>
    </row>
    <row r="36" spans="1:4" x14ac:dyDescent="0.2">
      <c r="A36" s="24"/>
      <c r="B36" s="18" t="s">
        <v>35</v>
      </c>
      <c r="C36" s="19"/>
      <c r="D36" s="14">
        <v>0.5</v>
      </c>
    </row>
    <row r="37" spans="1:4" x14ac:dyDescent="0.2">
      <c r="A37" s="24"/>
      <c r="B37" s="18"/>
      <c r="C37" s="19"/>
      <c r="D37" s="14"/>
    </row>
    <row r="38" spans="1:4" x14ac:dyDescent="0.2">
      <c r="A38" s="24"/>
      <c r="B38" s="20"/>
      <c r="C38" s="21"/>
      <c r="D38" s="14"/>
    </row>
    <row r="39" spans="1:4" x14ac:dyDescent="0.2">
      <c r="A39" s="24"/>
      <c r="B39" s="2" t="s">
        <v>6</v>
      </c>
      <c r="C39" s="3" t="s">
        <v>5</v>
      </c>
      <c r="D39" s="15">
        <f>SUM(D34:D38)</f>
        <v>3.5</v>
      </c>
    </row>
    <row r="40" spans="1:4" ht="24.95" customHeight="1" x14ac:dyDescent="0.2">
      <c r="A40" s="32"/>
      <c r="B40" s="47" t="s">
        <v>36</v>
      </c>
      <c r="C40" s="48"/>
      <c r="D40" s="49"/>
    </row>
    <row r="41" spans="1:4" ht="12.75" customHeight="1" x14ac:dyDescent="0.2">
      <c r="A41" s="23">
        <v>46034</v>
      </c>
      <c r="B41" s="25" t="s">
        <v>29</v>
      </c>
      <c r="C41" s="26"/>
      <c r="D41" s="7">
        <v>0.5</v>
      </c>
    </row>
    <row r="42" spans="1:4" x14ac:dyDescent="0.2">
      <c r="A42" s="24"/>
      <c r="B42" s="27" t="s">
        <v>30</v>
      </c>
      <c r="C42" s="28"/>
      <c r="D42" s="8">
        <v>0.2</v>
      </c>
    </row>
    <row r="43" spans="1:4" x14ac:dyDescent="0.2">
      <c r="A43" s="24"/>
      <c r="B43" s="27" t="s">
        <v>31</v>
      </c>
      <c r="C43" s="28"/>
      <c r="D43" s="8">
        <v>6.8</v>
      </c>
    </row>
    <row r="44" spans="1:4" x14ac:dyDescent="0.2">
      <c r="A44" s="24"/>
      <c r="B44" s="27"/>
      <c r="C44" s="28"/>
      <c r="D44" s="8"/>
    </row>
    <row r="45" spans="1:4" x14ac:dyDescent="0.2">
      <c r="A45" s="24"/>
      <c r="B45" s="27"/>
      <c r="C45" s="28"/>
      <c r="D45" s="8"/>
    </row>
    <row r="46" spans="1:4" x14ac:dyDescent="0.2">
      <c r="A46" s="24"/>
      <c r="B46" s="2" t="s">
        <v>6</v>
      </c>
      <c r="C46" s="3" t="s">
        <v>5</v>
      </c>
      <c r="D46" s="9">
        <f>SUM(D41:D45)</f>
        <v>7.5</v>
      </c>
    </row>
    <row r="47" spans="1:4" ht="24.95" customHeight="1" x14ac:dyDescent="0.2">
      <c r="A47" s="32"/>
      <c r="B47" s="33" t="s">
        <v>37</v>
      </c>
      <c r="C47" s="34"/>
      <c r="D47" s="35"/>
    </row>
    <row r="48" spans="1:4" ht="12.75" customHeight="1" x14ac:dyDescent="0.2">
      <c r="A48" s="23"/>
      <c r="B48" s="25"/>
      <c r="C48" s="26"/>
      <c r="D48" s="7"/>
    </row>
    <row r="49" spans="1:4" x14ac:dyDescent="0.2">
      <c r="A49" s="24"/>
      <c r="B49" s="27"/>
      <c r="C49" s="28"/>
      <c r="D49" s="8"/>
    </row>
    <row r="50" spans="1:4" x14ac:dyDescent="0.2">
      <c r="A50" s="24"/>
      <c r="B50" s="27"/>
      <c r="C50" s="28"/>
      <c r="D50" s="8"/>
    </row>
    <row r="51" spans="1:4" x14ac:dyDescent="0.2">
      <c r="A51" s="24"/>
      <c r="B51" s="27"/>
      <c r="C51" s="28"/>
      <c r="D51" s="8"/>
    </row>
    <row r="52" spans="1:4" x14ac:dyDescent="0.2">
      <c r="A52" s="24"/>
      <c r="B52" s="27"/>
      <c r="C52" s="28"/>
      <c r="D52" s="8"/>
    </row>
    <row r="53" spans="1:4" x14ac:dyDescent="0.2">
      <c r="A53" s="24"/>
      <c r="B53" s="2" t="s">
        <v>6</v>
      </c>
      <c r="C53" s="3" t="s">
        <v>5</v>
      </c>
      <c r="D53" s="9">
        <f>SUM(D48:D52)</f>
        <v>0</v>
      </c>
    </row>
    <row r="54" spans="1:4" ht="24.95" customHeight="1" x14ac:dyDescent="0.2">
      <c r="A54" s="32"/>
      <c r="B54" s="33"/>
      <c r="C54" s="34"/>
      <c r="D54" s="35"/>
    </row>
    <row r="55" spans="1:4" ht="12.75" customHeight="1" x14ac:dyDescent="0.2">
      <c r="A55" s="23"/>
      <c r="B55" s="25"/>
      <c r="C55" s="26"/>
      <c r="D55" s="7"/>
    </row>
    <row r="56" spans="1:4" x14ac:dyDescent="0.2">
      <c r="A56" s="24"/>
      <c r="B56" s="27"/>
      <c r="C56" s="28"/>
      <c r="D56" s="8"/>
    </row>
    <row r="57" spans="1:4" x14ac:dyDescent="0.2">
      <c r="A57" s="24"/>
      <c r="B57" s="27"/>
      <c r="C57" s="28"/>
      <c r="D57" s="8"/>
    </row>
    <row r="58" spans="1:4" x14ac:dyDescent="0.2">
      <c r="A58" s="24"/>
      <c r="B58" s="27"/>
      <c r="C58" s="28"/>
      <c r="D58" s="8"/>
    </row>
    <row r="59" spans="1:4" x14ac:dyDescent="0.2">
      <c r="A59" s="24"/>
      <c r="B59" s="27"/>
      <c r="C59" s="28"/>
      <c r="D59" s="8"/>
    </row>
    <row r="60" spans="1:4" x14ac:dyDescent="0.2">
      <c r="A60" s="24"/>
      <c r="B60" s="2" t="s">
        <v>6</v>
      </c>
      <c r="C60" s="3" t="s">
        <v>5</v>
      </c>
      <c r="D60" s="9">
        <f>SUM(D55:D59)</f>
        <v>0</v>
      </c>
    </row>
    <row r="61" spans="1:4" ht="24.95" customHeight="1" x14ac:dyDescent="0.2">
      <c r="A61" s="32"/>
      <c r="B61" s="33"/>
      <c r="C61" s="34"/>
      <c r="D61" s="35"/>
    </row>
    <row r="62" spans="1:4" ht="12.75" customHeight="1" x14ac:dyDescent="0.2">
      <c r="A62" s="23"/>
      <c r="B62" s="25"/>
      <c r="C62" s="26"/>
      <c r="D62" s="7"/>
    </row>
    <row r="63" spans="1:4" x14ac:dyDescent="0.2">
      <c r="A63" s="24"/>
      <c r="B63" s="27"/>
      <c r="C63" s="28"/>
      <c r="D63" s="8"/>
    </row>
    <row r="64" spans="1:4" x14ac:dyDescent="0.2">
      <c r="A64" s="24"/>
      <c r="B64" s="27"/>
      <c r="C64" s="28"/>
      <c r="D64" s="8"/>
    </row>
    <row r="65" spans="1:4" x14ac:dyDescent="0.2">
      <c r="A65" s="24"/>
      <c r="B65" s="27"/>
      <c r="C65" s="28"/>
      <c r="D65" s="8"/>
    </row>
    <row r="66" spans="1:4" x14ac:dyDescent="0.2">
      <c r="A66" s="24"/>
      <c r="B66" s="27"/>
      <c r="C66" s="28"/>
      <c r="D66" s="8"/>
    </row>
    <row r="67" spans="1:4" x14ac:dyDescent="0.2">
      <c r="A67" s="24"/>
      <c r="B67" s="2" t="s">
        <v>6</v>
      </c>
      <c r="C67" s="3" t="s">
        <v>5</v>
      </c>
      <c r="D67" s="9">
        <f>SUM(D62:D66)</f>
        <v>0</v>
      </c>
    </row>
    <row r="68" spans="1:4" ht="24.95" customHeight="1" x14ac:dyDescent="0.2">
      <c r="A68" s="24"/>
      <c r="B68" s="29"/>
      <c r="C68" s="30"/>
      <c r="D68" s="31"/>
    </row>
    <row r="69" spans="1:4" ht="12.75" customHeight="1" x14ac:dyDescent="0.2">
      <c r="A69" s="23"/>
      <c r="B69" s="25"/>
      <c r="C69" s="26"/>
      <c r="D69" s="7"/>
    </row>
    <row r="70" spans="1:4" x14ac:dyDescent="0.2">
      <c r="A70" s="24"/>
      <c r="B70" s="27"/>
      <c r="C70" s="28"/>
      <c r="D70" s="8"/>
    </row>
    <row r="71" spans="1:4" x14ac:dyDescent="0.2">
      <c r="A71" s="24"/>
      <c r="B71" s="27"/>
      <c r="C71" s="28"/>
      <c r="D71" s="8"/>
    </row>
    <row r="72" spans="1:4" x14ac:dyDescent="0.2">
      <c r="A72" s="24"/>
      <c r="B72" s="27"/>
      <c r="C72" s="28"/>
      <c r="D72" s="8"/>
    </row>
    <row r="73" spans="1:4" x14ac:dyDescent="0.2">
      <c r="A73" s="24"/>
      <c r="B73" s="27"/>
      <c r="C73" s="28"/>
      <c r="D73" s="8"/>
    </row>
    <row r="74" spans="1:4" x14ac:dyDescent="0.2">
      <c r="A74" s="24"/>
      <c r="B74" s="2" t="s">
        <v>6</v>
      </c>
      <c r="C74" s="3" t="s">
        <v>5</v>
      </c>
      <c r="D74" s="9">
        <f>SUM(D69:D73)</f>
        <v>0</v>
      </c>
    </row>
    <row r="75" spans="1:4" ht="24.95" customHeight="1" x14ac:dyDescent="0.2">
      <c r="A75" s="32"/>
      <c r="B75" s="33"/>
      <c r="C75" s="34"/>
      <c r="D75" s="35"/>
    </row>
    <row r="76" spans="1:4" ht="12.75" customHeight="1" x14ac:dyDescent="0.2">
      <c r="A76" s="23"/>
      <c r="B76" s="25"/>
      <c r="C76" s="26"/>
      <c r="D76" s="7"/>
    </row>
    <row r="77" spans="1:4" x14ac:dyDescent="0.2">
      <c r="A77" s="24"/>
      <c r="B77" s="27"/>
      <c r="C77" s="28"/>
      <c r="D77" s="8"/>
    </row>
    <row r="78" spans="1:4" x14ac:dyDescent="0.2">
      <c r="A78" s="24"/>
      <c r="B78" s="27"/>
      <c r="C78" s="28"/>
      <c r="D78" s="8"/>
    </row>
    <row r="79" spans="1:4" x14ac:dyDescent="0.2">
      <c r="A79" s="24"/>
      <c r="B79" s="27"/>
      <c r="C79" s="28"/>
      <c r="D79" s="8"/>
    </row>
    <row r="80" spans="1:4" x14ac:dyDescent="0.2">
      <c r="A80" s="24"/>
      <c r="B80" s="27"/>
      <c r="C80" s="28"/>
      <c r="D80" s="8"/>
    </row>
    <row r="81" spans="1:4" x14ac:dyDescent="0.2">
      <c r="A81" s="24"/>
      <c r="B81" s="2" t="s">
        <v>6</v>
      </c>
      <c r="C81" s="3" t="s">
        <v>5</v>
      </c>
      <c r="D81" s="9">
        <f>SUM(D76:D80)</f>
        <v>0</v>
      </c>
    </row>
    <row r="82" spans="1:4" ht="24.95" customHeight="1" x14ac:dyDescent="0.2">
      <c r="A82" s="32"/>
      <c r="B82" s="33"/>
      <c r="C82" s="34"/>
      <c r="D82" s="35"/>
    </row>
    <row r="83" spans="1:4" ht="12" customHeight="1" x14ac:dyDescent="0.2">
      <c r="A83" s="11"/>
      <c r="B83" s="10"/>
      <c r="C83" s="3" t="s">
        <v>7</v>
      </c>
      <c r="D83" s="12" t="e">
        <f>D11+D18+D25+D32+D46+#REF!+D53+D60+D67+D74+D81</f>
        <v>#REF!</v>
      </c>
    </row>
    <row r="84" spans="1:4" x14ac:dyDescent="0.2">
      <c r="A84" s="22" t="s">
        <v>0</v>
      </c>
      <c r="B84" s="22"/>
      <c r="C84" s="22"/>
      <c r="D84" s="22"/>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7:D47"/>
    <mergeCell ref="A48:A54"/>
    <mergeCell ref="B48:C48"/>
    <mergeCell ref="B49:C49"/>
    <mergeCell ref="B50:C50"/>
    <mergeCell ref="B51:C51"/>
    <mergeCell ref="B52:C52"/>
    <mergeCell ref="B41:C41"/>
    <mergeCell ref="B42:C42"/>
    <mergeCell ref="B43:C43"/>
    <mergeCell ref="B44:C44"/>
    <mergeCell ref="B45:C45"/>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B34:C34"/>
    <mergeCell ref="B35:C35"/>
    <mergeCell ref="B36:C36"/>
    <mergeCell ref="B37:C37"/>
    <mergeCell ref="B38:C38"/>
  </mergeCells>
  <conditionalFormatting sqref="D6:D11">
    <cfRule type="containsText" dxfId="21" priority="23" operator="containsText" text="Terminé">
      <formula>NOT(ISERROR(SEARCH("Terminé",D6)))</formula>
    </cfRule>
    <cfRule type="containsText" dxfId="20" priority="24" operator="containsText" text="En cours">
      <formula>NOT(ISERROR(SEARCH("En cours",D6)))</formula>
    </cfRule>
  </conditionalFormatting>
  <conditionalFormatting sqref="D13:D18">
    <cfRule type="containsText" dxfId="19" priority="21" operator="containsText" text="Terminé">
      <formula>NOT(ISERROR(SEARCH("Terminé",D13)))</formula>
    </cfRule>
    <cfRule type="containsText" dxfId="18" priority="22" operator="containsText" text="En cours">
      <formula>NOT(ISERROR(SEARCH("En cours",D13)))</formula>
    </cfRule>
  </conditionalFormatting>
  <conditionalFormatting sqref="D20:D25">
    <cfRule type="containsText" dxfId="17" priority="3" operator="containsText" text="Terminé">
      <formula>NOT(ISERROR(SEARCH("Terminé",D20)))</formula>
    </cfRule>
    <cfRule type="containsText" dxfId="16" priority="4" operator="containsText" text="En cours">
      <formula>NOT(ISERROR(SEARCH("En cours",D20)))</formula>
    </cfRule>
  </conditionalFormatting>
  <conditionalFormatting sqref="D27:D32">
    <cfRule type="containsText" dxfId="15" priority="19" operator="containsText" text="Terminé">
      <formula>NOT(ISERROR(SEARCH("Terminé",D27)))</formula>
    </cfRule>
    <cfRule type="containsText" dxfId="14" priority="20" operator="containsText" text="En cours">
      <formula>NOT(ISERROR(SEARCH("En cours",D27)))</formula>
    </cfRule>
  </conditionalFormatting>
  <conditionalFormatting sqref="D41:D46">
    <cfRule type="containsText" dxfId="13" priority="17" operator="containsText" text="Terminé">
      <formula>NOT(ISERROR(SEARCH("Terminé",D41)))</formula>
    </cfRule>
    <cfRule type="containsText" dxfId="12" priority="18"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Journal_LEFORT_JULIE</vt:lpstr>
      <vt:lpstr>Journal_LEFORT_JULIE!Impression_des_titres</vt:lpstr>
      <vt:lpstr>Journal_LEFORT_JULIE!Zone_d_impression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Lefort Julie</cp:lastModifiedBy>
  <cp:lastPrinted>2022-01-05T15:16:39Z</cp:lastPrinted>
  <dcterms:created xsi:type="dcterms:W3CDTF">2002-03-11T12:50:08Z</dcterms:created>
  <dcterms:modified xsi:type="dcterms:W3CDTF">2026-01-13T07:01:33Z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